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057f2e99b39f440/Desktop/BLC-C1 PROJECT/"/>
    </mc:Choice>
  </mc:AlternateContent>
  <xr:revisionPtr revIDLastSave="6" documentId="11_5F4C18A1A03ACC36BC24E45428D751EFAD24C361" xr6:coauthVersionLast="47" xr6:coauthVersionMax="47" xr10:uidLastSave="{E43C22E4-D276-4A17-A335-83F78E744C3D}"/>
  <bookViews>
    <workbookView xWindow="-108" yWindow="-108" windowWidth="23256" windowHeight="12456" activeTab="2" xr2:uid="{00000000-000D-0000-FFFF-FFFF00000000}"/>
  </bookViews>
  <sheets>
    <sheet name="Master" sheetId="1" r:id="rId1"/>
    <sheet name="DASHBOARD" sheetId="2" r:id="rId2"/>
    <sheet name="Indian Businesses" sheetId="3" r:id="rId3"/>
    <sheet name="Foreign Businesses" sheetId="4" r:id="rId4"/>
    <sheet name="Reviews-High Priority" sheetId="5" r:id="rId5"/>
    <sheet name="Reviews-Medium Priority" sheetId="6" r:id="rId6"/>
    <sheet name="Reviews-Low Priority" sheetId="7" r:id="rId7"/>
    <sheet name="No review Data" sheetId="8" r:id="rId8"/>
    <sheet name="Contact Availability" sheetId="9" r:id="rId9"/>
    <sheet name="Count of company by category" sheetId="10" r:id="rId10"/>
    <sheet name="Business by city" sheetId="11" r:id="rId11"/>
    <sheet name="Category By Reviews" sheetId="12" r:id="rId12"/>
    <sheet name="AVG rating by Category" sheetId="13" r:id="rId13"/>
    <sheet name="Category Distribution by Countr" sheetId="14" r:id="rId14"/>
  </sheets>
  <calcPr calcId="191029"/>
  <pivotCaches>
    <pivotCache cacheId="6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3" i="1" l="1"/>
  <c r="I292" i="1"/>
  <c r="I291" i="1"/>
  <c r="I290" i="1"/>
  <c r="I289" i="1"/>
  <c r="I275" i="1"/>
  <c r="I274" i="1"/>
  <c r="I273" i="1"/>
  <c r="I272" i="1"/>
  <c r="I271" i="1"/>
  <c r="I255" i="1"/>
  <c r="I254" i="1"/>
  <c r="I253" i="1"/>
  <c r="I252" i="1"/>
  <c r="I251" i="1"/>
  <c r="I235" i="1"/>
  <c r="I234" i="1"/>
  <c r="I233" i="1"/>
  <c r="I232" i="1"/>
  <c r="I231" i="1"/>
  <c r="I215" i="1"/>
  <c r="I214" i="1"/>
  <c r="I213" i="1"/>
  <c r="I212" i="1"/>
  <c r="I211" i="1"/>
  <c r="I195" i="1"/>
  <c r="I194" i="1"/>
  <c r="I193" i="1"/>
  <c r="I192" i="1"/>
  <c r="I191" i="1"/>
  <c r="I175" i="1"/>
  <c r="I174" i="1"/>
  <c r="I173" i="1"/>
  <c r="I172" i="1"/>
  <c r="I171" i="1"/>
  <c r="I154" i="1"/>
  <c r="I153" i="1"/>
  <c r="I152" i="1"/>
  <c r="I151" i="1"/>
  <c r="I150" i="1"/>
  <c r="I134" i="1"/>
  <c r="I133" i="1"/>
  <c r="I132" i="1"/>
  <c r="I131" i="1"/>
  <c r="I130" i="1"/>
  <c r="I114" i="1"/>
  <c r="I113" i="1"/>
  <c r="I112" i="1"/>
  <c r="I111" i="1"/>
  <c r="I110" i="1"/>
  <c r="I95" i="1"/>
  <c r="I94" i="1"/>
  <c r="I93" i="1"/>
  <c r="I92" i="1"/>
  <c r="I91" i="1"/>
  <c r="I75" i="1"/>
  <c r="I74" i="1"/>
  <c r="I73" i="1"/>
  <c r="I72" i="1"/>
  <c r="I71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tc={d0d52e5f-58ec-4000-a604-58c0dbd5e170}</author>
    <author>tc={b88a999e-eba7-47c2-bfb4-e3f77cda8efc}</author>
  </authors>
  <commentList>
    <comment ref="A1" authorId="0" shapeId="0" xr:uid="{D0D52E5F-58EC-4000-A604-58C0DBD5E17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contact, and location invalid</t>
      </text>
    </comment>
    <comment ref="D259" authorId="1" shapeId="0" xr:uid="{B88A999E-EBA7-47C2-BFB4-E3F77CDA8EFC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Correction: SHAGUN  MEDICAL -&gt; SAGUN MEDICAL</t>
      </text>
    </comment>
  </commentList>
</comments>
</file>

<file path=xl/sharedStrings.xml><?xml version="1.0" encoding="utf-8"?>
<sst xmlns="http://schemas.openxmlformats.org/spreadsheetml/2006/main" count="7902" uniqueCount="633">
  <si>
    <t>S.No</t>
  </si>
  <si>
    <t>Country</t>
  </si>
  <si>
    <t>City</t>
  </si>
  <si>
    <t>Company</t>
  </si>
  <si>
    <t>LINKEDIN LINK</t>
  </si>
  <si>
    <t>Website</t>
  </si>
  <si>
    <t>Tech Need / Problem</t>
  </si>
  <si>
    <t>EMAIL</t>
  </si>
  <si>
    <t>CONTACT</t>
  </si>
  <si>
    <t>Google Map</t>
  </si>
  <si>
    <t>Category</t>
  </si>
  <si>
    <t>Ratings</t>
  </si>
  <si>
    <t>Reviews</t>
  </si>
  <si>
    <t>India</t>
  </si>
  <si>
    <t>Lucknow</t>
  </si>
  <si>
    <t>Ladies First Beauty Salon</t>
  </si>
  <si>
    <t>N/A</t>
  </si>
  <si>
    <t>https://maps.app.goo.gl/zQKMiLRnw9RziQSh6</t>
  </si>
  <si>
    <t xml:space="preserve">Beauty Salon </t>
  </si>
  <si>
    <t>Priya Beauty Salon</t>
  </si>
  <si>
    <t>https://maps.app.goo.gl/jm5JRZPhwYTUJqSR9</t>
  </si>
  <si>
    <t>Looks</t>
  </si>
  <si>
    <t>https://maps.app.goo.gl/3B8ZhGzqW2v8Pb5R7</t>
  </si>
  <si>
    <t xml:space="preserve">Glow N Glam
</t>
  </si>
  <si>
    <t>https://maps.app.goo.gl/aQTVy4qYCbXqdmMK6</t>
  </si>
  <si>
    <t>USA</t>
  </si>
  <si>
    <t>New York</t>
  </si>
  <si>
    <t>NY-2 Food Market</t>
  </si>
  <si>
    <t>https://maps.app.goo.gl/QNWKnhprAJ5gZAmUA</t>
  </si>
  <si>
    <t>Grocery Store</t>
  </si>
  <si>
    <t>Noho Food Market</t>
  </si>
  <si>
    <t>https://maps.app.goo.gl/34fGKMS5i3FvqevD6</t>
  </si>
  <si>
    <t>Parkview Convenience</t>
  </si>
  <si>
    <t>https://maps.app.goo.gl/BGEzEjtYC9VTef3w5</t>
  </si>
  <si>
    <t>NYC convenience (maiden lane)</t>
  </si>
  <si>
    <t>https://maps.app.goo.gl/szZhHoHRyeno9ibX7</t>
  </si>
  <si>
    <t>Sonny's Grocery store</t>
  </si>
  <si>
    <t>https://maps.app.goo.gl/4H16AYmruc587pTS9</t>
  </si>
  <si>
    <t>Chelsea convenience &amp; more</t>
  </si>
  <si>
    <t>https://maps.app.goo.gl/Gjkkb4igdtAQd3JH9</t>
  </si>
  <si>
    <t>59 Bayard Market</t>
  </si>
  <si>
    <t>https://maps.app.goo.gl/pMxgUUTUUSEtVPFB8</t>
  </si>
  <si>
    <t>Ez Minimart</t>
  </si>
  <si>
    <t>https://maps.app.goo.gl/Lxyosg9qh5Uzt96W8</t>
  </si>
  <si>
    <t>2nd Ave. Grocery &amp; Smoke Shop</t>
  </si>
  <si>
    <t>https://maps.app.goo.gl/TR15mrcLyrQAqcLN6</t>
  </si>
  <si>
    <t>Boongs Grab and Go</t>
  </si>
  <si>
    <t>https://maps.app.goo.gl/Be8qfRo1rLCJyD2X8</t>
  </si>
  <si>
    <t>Soho Garden</t>
  </si>
  <si>
    <t>https://maps.app.goo.gl/CC1a4SD9SUgxzgDW7</t>
  </si>
  <si>
    <t>Mitsuki Japanese Market</t>
  </si>
  <si>
    <t>https://maps.app.goo.gl/dZDq1dyg4zxVBXdr7</t>
  </si>
  <si>
    <t>Peas &amp; Pickles</t>
  </si>
  <si>
    <t>https://maps.app.goo.gl/X4HqRVDxn88dG3LF7</t>
  </si>
  <si>
    <t>Ha Ha Fresh Corporation</t>
  </si>
  <si>
    <t>https://maps.app.goo.gl/RUoX6ZfrfkwUrXUR8</t>
  </si>
  <si>
    <t>General Store</t>
  </si>
  <si>
    <t>Lime Tree Market</t>
  </si>
  <si>
    <t>https://maps.app.goo.gl/mRqMhvYnQCuBanHu8</t>
  </si>
  <si>
    <t>Lucknow Medical Store</t>
  </si>
  <si>
    <t>https://maps.app.goo.gl/gF8nNigdUrRL2XuJ6</t>
  </si>
  <si>
    <t>Pharmacy</t>
  </si>
  <si>
    <t>Krishna Medicals</t>
  </si>
  <si>
    <t>https://maps.app.goo.gl/LYPPy5VnmPr4H6zw6</t>
  </si>
  <si>
    <t>Kishori Lal Prabhu Dayal Medical Store</t>
  </si>
  <si>
    <t>https://maps.app.goo.gl/FyP4BF3uzXvpEooY7</t>
  </si>
  <si>
    <t>SACHDEVA MEDICAL STORES</t>
  </si>
  <si>
    <t>https://maps.app.goo.gl/AFuuhnb64qJoRAt88</t>
  </si>
  <si>
    <t>Anuj Medicals</t>
  </si>
  <si>
    <t>https://maps.app.goo.gl/RKG9c9JhXiFJGTtx7</t>
  </si>
  <si>
    <t>Nirmala medical store</t>
  </si>
  <si>
    <t>https://maps.app.goo.gl/frsVWbfV96yfbUWF7</t>
  </si>
  <si>
    <t>Anshu Medical Store</t>
  </si>
  <si>
    <t>https://maps.app.goo.gl/bHUXrRLsucc9XXCn7</t>
  </si>
  <si>
    <t>MEDICINE HOUSE</t>
  </si>
  <si>
    <t>https://maps.app.goo.gl/UZUchN6fm1TKEuWY6</t>
  </si>
  <si>
    <t>Universal Medical Store</t>
  </si>
  <si>
    <t>https://maps.app.goo.gl/HFf13V4A8E7P1mR58</t>
  </si>
  <si>
    <t>Ashtang Medicine Mall</t>
  </si>
  <si>
    <t>https://maps.app.goo.gl/KvKR3ZquYniyomrb6</t>
  </si>
  <si>
    <t>Mini Medical</t>
  </si>
  <si>
    <t>https://maps.app.goo.gl/Cncz5ccckRYJwSZy7</t>
  </si>
  <si>
    <t>Ashi Medical Store</t>
  </si>
  <si>
    <t>https://maps.app.goo.gl/MDYUxT4snnxenws18</t>
  </si>
  <si>
    <t>Gani medical store</t>
  </si>
  <si>
    <t>https://maps.app.goo.gl/rmYs6yEBiaoBL58q9</t>
  </si>
  <si>
    <t>DR. PUSHPLATA PHARMACY</t>
  </si>
  <si>
    <t>https://maps.app.goo.gl/ZyPzrULx1MLcovEJ8</t>
  </si>
  <si>
    <t>Nirala Medical Store</t>
  </si>
  <si>
    <t>https://maps.app.goo.gl/usXKu7wZoNXa4RJU8</t>
  </si>
  <si>
    <t>Popular Medicines</t>
  </si>
  <si>
    <t>https://maps.app.goo.gl/QkSgQsQW6eALbCGq5</t>
  </si>
  <si>
    <t>Medi99 | Online Pharmacy | Medical store | Lucknow</t>
  </si>
  <si>
    <t>https://maps.app.goo.gl/shnWCrSFoBxKWcqE9</t>
  </si>
  <si>
    <t>Rishabh Medical Store</t>
  </si>
  <si>
    <t>https://maps.app.goo.gl/jQPpds4zfikgE1c5A</t>
  </si>
  <si>
    <t>Abha Medical Store</t>
  </si>
  <si>
    <t>https://maps.app.goo.gl/PUjWLajarpvgnGqP9</t>
  </si>
  <si>
    <t>Mohan Medical Hall</t>
  </si>
  <si>
    <t>https://maps.app.goo.gl/1uLJP4erCsEjCbMd6</t>
  </si>
  <si>
    <t>M &amp; R Medical Supplies</t>
  </si>
  <si>
    <t>https://maps.app.goo.gl/g9RMzmWTWEuE1PSN9</t>
  </si>
  <si>
    <t>Rite Way Drugs</t>
  </si>
  <si>
    <t>https://maps.app.goo.gl/aTvTHNt9bA5fmBAe9</t>
  </si>
  <si>
    <t>N &amp; L Medical Supply Inc</t>
  </si>
  <si>
    <t>https://maps.app.goo.gl/HezBKeBy68i2pE6T6</t>
  </si>
  <si>
    <t>Medicine Plus Pharmacy</t>
  </si>
  <si>
    <t>https://maps.app.goo.gl/CsAEDguBHZGFiHQP6</t>
  </si>
  <si>
    <t>Slope Drugs &amp; Surgical Supply</t>
  </si>
  <si>
    <t>https://maps.app.goo.gl/FsvtpMXYpY3Jrcmt9</t>
  </si>
  <si>
    <t>Block Drug Store</t>
  </si>
  <si>
    <t>https://maps.app.goo.gl/45hhNy6bHoTqzG929</t>
  </si>
  <si>
    <t>The Somerset Garage</t>
  </si>
  <si>
    <t>https://maps.app.goo.gl/jVkBQSgrtuf3gqJRA</t>
  </si>
  <si>
    <t>Garage</t>
  </si>
  <si>
    <t>Model Garage Inc</t>
  </si>
  <si>
    <t>https://maps.app.goo.gl/RXjdq8D4BvSQjY1r6</t>
  </si>
  <si>
    <t>The 1345 Garage</t>
  </si>
  <si>
    <t>https://maps.app.goo.gl/Ys6fuFMtijcevnAC7</t>
  </si>
  <si>
    <t>45 Garage</t>
  </si>
  <si>
    <t>https://maps.app.goo.gl/wa3uAPfebF1hxhZS8</t>
  </si>
  <si>
    <t>Meyers Parking: MP Alyn Garage</t>
  </si>
  <si>
    <t>https://maps.app.goo.gl/K447TNTzTokUA7rc8</t>
  </si>
  <si>
    <t>Icon Parking Garage</t>
  </si>
  <si>
    <t>https://maps.app.goo.gl/e5mc5NEyzjbqz31RA</t>
  </si>
  <si>
    <t>AZ Parking</t>
  </si>
  <si>
    <t>https://maps.app.goo.gl/quEJ2tfDWBUKViut6</t>
  </si>
  <si>
    <t>AstorTerrace Garage</t>
  </si>
  <si>
    <t>https://maps.app.goo.gl/9uCm4jC7Q2qHkrmq9</t>
  </si>
  <si>
    <t>Barrow Street Garage LLC</t>
  </si>
  <si>
    <t>https://maps.app.goo.gl/197YRXHqCadzhMuHA</t>
  </si>
  <si>
    <t>Ashirwad Medical Store</t>
  </si>
  <si>
    <t>https://maps.app.goo.gl/i62fbrymDr2ywgAs9</t>
  </si>
  <si>
    <t>Om Medical Store</t>
  </si>
  <si>
    <t>https://maps.app.goo.gl/KCtAogUL9paaXwb1A</t>
  </si>
  <si>
    <t>Medicine Mart</t>
  </si>
  <si>
    <t>https://maps.app.goo.gl/S5SvDJVRwUD4jY1JA</t>
  </si>
  <si>
    <t>Shukla Medical Store</t>
  </si>
  <si>
    <t>https://maps.app.goo.gl/9QQz9yYaqorifrxK6</t>
  </si>
  <si>
    <t>New Life Pharmacy</t>
  </si>
  <si>
    <t>https://maps.app.goo.gl/YE4roBCuiiF8dqG68</t>
  </si>
  <si>
    <t>Jyotirmay Dental Health Care Centre</t>
  </si>
  <si>
    <t>https://maps.app.goo.gl/Gfifr5u1wPCaJgJd6</t>
  </si>
  <si>
    <t>Dr. Arpit Gupta</t>
  </si>
  <si>
    <t>https://maps.app.goo.gl/9i9PJaGa1Pcj6XmM7</t>
  </si>
  <si>
    <t>Jio Medical</t>
  </si>
  <si>
    <t>https://maps.app.goo.gl/56uSn3DNXL8Vatxx7</t>
  </si>
  <si>
    <t>BOUNCE BACK PHYSIOTHERAPY</t>
  </si>
  <si>
    <t>https://maps.app.goo.gl/qERXRsREvXWFaEvw9</t>
  </si>
  <si>
    <t>Vatsalya Clinic Dr. S.K Rai</t>
  </si>
  <si>
    <t>https://maps.app.goo.gl/qC8LoaP2qSVdkPuBA</t>
  </si>
  <si>
    <t>CENTRAL AGENCIES</t>
  </si>
  <si>
    <t>https://maps.app.goo.gl/59cM2ovhQFrRqeYu7</t>
  </si>
  <si>
    <t>BLUENECK HOSPITEC LLP</t>
  </si>
  <si>
    <t>https://maps.app.goo.gl/VwAu5bggYmEte2p17</t>
  </si>
  <si>
    <t>Maa Vaishno Medical Store</t>
  </si>
  <si>
    <t>https://maps.app.goo.gl/hMZSxEShQfdTNh7V7</t>
  </si>
  <si>
    <t>A.S.Medical Store</t>
  </si>
  <si>
    <t>https://maps.app.goo.gl/Mbyhtkk8skYYiN1q8</t>
  </si>
  <si>
    <t>Tejas Pharmacy &amp; Surgical Store</t>
  </si>
  <si>
    <t>https://maps.app.goo.gl/2SgwR23P63Bd9Trz8</t>
  </si>
  <si>
    <t>Select Garages - 9 Park Ave. Garage</t>
  </si>
  <si>
    <t>https://maps.app.goo.gl/dGP4GdMrgUUd24TP7</t>
  </si>
  <si>
    <t>79-80 Garage Corporation</t>
  </si>
  <si>
    <t>https://maps.app.goo.gl/BsqUNhm3QBcC9PLn7</t>
  </si>
  <si>
    <t>MTP Park</t>
  </si>
  <si>
    <t>https://maps.app.goo.gl/2LTdFkXrpxMxFPERA</t>
  </si>
  <si>
    <t>NYC Parking at CBS Building@ 31 W 52nd St</t>
  </si>
  <si>
    <t>https://maps.app.goo.gl/zYkMJDsUC4iqpAjv7</t>
  </si>
  <si>
    <t>Manhattan Garage Door Repair Inc</t>
  </si>
  <si>
    <t>https://maps.app.goo.gl/sLfAn588HbQWJpV57</t>
  </si>
  <si>
    <t>Fine Medical Store</t>
  </si>
  <si>
    <t>https://maps.app.goo.gl/RKNF15HCVty8jory8</t>
  </si>
  <si>
    <t>Gomti Medical Store</t>
  </si>
  <si>
    <t>https://maps.app.goo.gl/A8yfhyUFYDRn88Sm6</t>
  </si>
  <si>
    <t>BALAJI MEDICALS</t>
  </si>
  <si>
    <t>https://maps.app.goo.gl/DdihNnVqnqBeahwW6</t>
  </si>
  <si>
    <t>Vinayak Medicare Hospital</t>
  </si>
  <si>
    <t>https://maps.app.goo.gl/JHnpWDgSJXyPiaxB7</t>
  </si>
  <si>
    <t>Agarwal General Store</t>
  </si>
  <si>
    <t>https://maps.app.goo.gl/MQ7P8YbDAftJptha9</t>
  </si>
  <si>
    <t>Prabhu Dayal Provision Store</t>
  </si>
  <si>
    <t>https://maps.app.goo.gl/VZLeYSocaZvi34rA7</t>
  </si>
  <si>
    <t>Ganpati General Store</t>
  </si>
  <si>
    <t>https://maps.app.goo.gl/LaETxPhBRTNMm8gG7</t>
  </si>
  <si>
    <t>Vijay General Store</t>
  </si>
  <si>
    <t>https://maps.app.goo.gl/h3Pq3yVjwdgtUjFJ6</t>
  </si>
  <si>
    <t>ARYA MART</t>
  </si>
  <si>
    <t>https://maps.app.goo.gl/wbA9gryizMWnQtjb6</t>
  </si>
  <si>
    <t>Ajay Super Store</t>
  </si>
  <si>
    <t>https://maps.app.goo.gl/56uLnH9PcqFhu3Ww9</t>
  </si>
  <si>
    <t>SAHU GENERAL STORE</t>
  </si>
  <si>
    <t>https://maps.app.goo.gl/wptQJDBKo7tC7L4R8</t>
  </si>
  <si>
    <t>S.L Departmental Store</t>
  </si>
  <si>
    <t>https://maps.app.goo.gl/2LDU72bgKZLvmGTj8</t>
  </si>
  <si>
    <t>Zain General Store</t>
  </si>
  <si>
    <t>https://maps.app.goo.gl/YneA4FF1jhaUt55B8</t>
  </si>
  <si>
    <t>Sanjay Store</t>
  </si>
  <si>
    <t>https://maps.app.goo.gl/vQJ7eVKJ24R2eKJV6</t>
  </si>
  <si>
    <t>Shyam General Store</t>
  </si>
  <si>
    <t>https://maps.app.goo.gl/G5kAV5PPHoegSQdB7</t>
  </si>
  <si>
    <t>4-Garage</t>
  </si>
  <si>
    <t>https://maps.app.goo.gl/WzwzEXQY2ZoRH7pY8</t>
  </si>
  <si>
    <t>SFG Garage</t>
  </si>
  <si>
    <t>https://maps.app.goo.gl/xzTF4X6YrxPkoC5t8</t>
  </si>
  <si>
    <t>86. Parking Garage Corp.</t>
  </si>
  <si>
    <t>https://maps.app.goo.gl/QYAcqpRcYNUMChMr6</t>
  </si>
  <si>
    <t>RL Mercer Street LLC</t>
  </si>
  <si>
    <t>https://maps.app.goo.gl/2JzxWoUAnkF171yz6</t>
  </si>
  <si>
    <t>Parking</t>
  </si>
  <si>
    <t>https://maps.app.goo.gl/PvBcjviEDLuxCP3KA</t>
  </si>
  <si>
    <t>Gurpreet Bakers</t>
  </si>
  <si>
    <t>https://maps.app.goo.gl/q6jTvwsWxW7TTFJeA</t>
  </si>
  <si>
    <t>Cake Shop</t>
  </si>
  <si>
    <t>Essence &amp; General Supplies</t>
  </si>
  <si>
    <t>https://maps.app.goo.gl/F8tK9hkQEG2WWPM39</t>
  </si>
  <si>
    <t>S M Bakery</t>
  </si>
  <si>
    <t>https://maps.app.goo.gl/p5siA6LFyDgwpjqv6</t>
  </si>
  <si>
    <t>IamGroot.in</t>
  </si>
  <si>
    <t>https://maps.app.goo.gl/xVgiX6PVeQwJFFMn9</t>
  </si>
  <si>
    <t>New Jon Bakers</t>
  </si>
  <si>
    <t>https://maps.app.goo.gl/iUG2bzgzJi79AJVJ6</t>
  </si>
  <si>
    <t>Bread Smith Bakery (Pure Veg)</t>
  </si>
  <si>
    <t>https://maps.app.goo.gl/rVmMcUmL29mr7ncC8</t>
  </si>
  <si>
    <t>Modern Bakery</t>
  </si>
  <si>
    <t>https://maps.app.goo.gl/K2VQw26SGWpvXiEm9</t>
  </si>
  <si>
    <t>Aone Bakery</t>
  </si>
  <si>
    <t>https://maps.app.goo.gl/2jvbcXwEsGKPAHL58</t>
  </si>
  <si>
    <t>Butter Story</t>
  </si>
  <si>
    <t>https://maps.app.goo.gl/CXPq8x649kh8iwZj8</t>
  </si>
  <si>
    <t>Cake Crumbs The home made cakes</t>
  </si>
  <si>
    <t>https://maps.app.goo.gl/XJ6owUw26tjsmy1t9</t>
  </si>
  <si>
    <t>R S bakery</t>
  </si>
  <si>
    <t>https://maps.app.goo.gl/A8WPn23LLevEehMG8</t>
  </si>
  <si>
    <t>Winni Cakes &amp; More</t>
  </si>
  <si>
    <t>https://maps.app.goo.gl/fPsN8ACEcUQc4Bpb7</t>
  </si>
  <si>
    <t>Yummy Baker's &amp; Confectioners</t>
  </si>
  <si>
    <t>https://maps.app.goo.gl/Dbtzbys5wWtjggn97</t>
  </si>
  <si>
    <t>Celebration bakery &amp; cafe</t>
  </si>
  <si>
    <t>https://maps.app.goo.gl/H2q4Lp4jFQjuu8Nf6</t>
  </si>
  <si>
    <t>Eddies Tailor Shop</t>
  </si>
  <si>
    <t>https://maps.app.goo.gl/1ESn5BX3ArcJ1BSSA</t>
  </si>
  <si>
    <t>Tailor</t>
  </si>
  <si>
    <t>Leonalterations</t>
  </si>
  <si>
    <t>https://maps.app.goo.gl/nB7mK7qpmDxMKnwL6</t>
  </si>
  <si>
    <t>Michael Tailor Shop</t>
  </si>
  <si>
    <t>https://maps.app.goo.gl/7h6bMfWzw2pGAjCCA</t>
  </si>
  <si>
    <t>Pak's Tailor</t>
  </si>
  <si>
    <t>https://maps.app.goo.gl/wNCCaFrba6RjNLHf9</t>
  </si>
  <si>
    <t>Ely Custom Tailors</t>
  </si>
  <si>
    <t>https://maps.app.goo.gl/EACbVy89XByJGQdRA</t>
  </si>
  <si>
    <t>Goel General Store</t>
  </si>
  <si>
    <t>https://maps.app.goo.gl/grrXXfaY1uyCbcsy5</t>
  </si>
  <si>
    <t>Shiv Shankar General Store</t>
  </si>
  <si>
    <t>https://maps.app.goo.gl/ieFFtgXyY1A7RbTN9</t>
  </si>
  <si>
    <t>New Lucknow store</t>
  </si>
  <si>
    <t>https://maps.app.goo.gl/TAVMet4JKXqkLSEy5</t>
  </si>
  <si>
    <t>NANDI STORE</t>
  </si>
  <si>
    <t>https://maps.app.goo.gl/vkoLFjAGaCXzL6zy7</t>
  </si>
  <si>
    <t>Shariq General Store</t>
  </si>
  <si>
    <t>https://maps.app.goo.gl/SwrA5ZcB5FidQSLc8</t>
  </si>
  <si>
    <t>Sahul General Store</t>
  </si>
  <si>
    <t>https://maps.app.goo.gl/Tytywporv6e9L9qJ8</t>
  </si>
  <si>
    <t>Sagar General Store</t>
  </si>
  <si>
    <t>https://maps.app.goo.gl/51RHJ8f66GdxhXgs9</t>
  </si>
  <si>
    <t>Maa Santoshi D Store</t>
  </si>
  <si>
    <t>https://maps.app.goo.gl/TvqHZpg1UKcyHJyA8</t>
  </si>
  <si>
    <t>Daily Shopee</t>
  </si>
  <si>
    <t>https://maps.app.goo.gl/KDa9JrLdtwsTVVvUA</t>
  </si>
  <si>
    <t>Naman general store</t>
  </si>
  <si>
    <t>https://maps.app.goo.gl/foFGV417Wxnueri59</t>
  </si>
  <si>
    <t>S.General Store</t>
  </si>
  <si>
    <t>https://maps.app.goo.gl/GsQSibh1jXJxbPCw6</t>
  </si>
  <si>
    <t>Kapoor general store</t>
  </si>
  <si>
    <t>https://maps.app.goo.gl/U59zpX9GZZAB3h3j8</t>
  </si>
  <si>
    <t>https://maps.app.goo.gl/R1Hie8yW7bZTTdHK8</t>
  </si>
  <si>
    <t>Devanshi General Store</t>
  </si>
  <si>
    <t>https://maps.app.goo.gl/pKHeNasBhVmKR33PA</t>
  </si>
  <si>
    <t>Jai Shri General Store</t>
  </si>
  <si>
    <t>https://maps.app.goo.gl/tUn82nLchDJ9PnCh9</t>
  </si>
  <si>
    <t>UNI 28</t>
  </si>
  <si>
    <t>https://maps.app.goo.gl/qn6M7nXQ3LdAEt497</t>
  </si>
  <si>
    <t>Home Goods Store</t>
  </si>
  <si>
    <t>Yùnhóng Chopsticks</t>
  </si>
  <si>
    <t>https://maps.app.goo.gl/fjioowMvrDhzPpEu7</t>
  </si>
  <si>
    <t>Zee Smoke &amp; Convenience inc</t>
  </si>
  <si>
    <t>https://maps.app.goo.gl/C9cdn77fWRqoD29r7</t>
  </si>
  <si>
    <t>Shopping Girlfriend NYC</t>
  </si>
  <si>
    <t>https://maps.app.goo.gl/3Z7y8Fhcr4AjuDnd8</t>
  </si>
  <si>
    <t>Yamadaya</t>
  </si>
  <si>
    <t>https://maps.app.goo.gl/c87esYVzxAdXofpD9</t>
  </si>
  <si>
    <t>VR UNISEX SALON</t>
  </si>
  <si>
    <t>https://maps.app.goo.gl/7bG729yFDy8Dquzv5</t>
  </si>
  <si>
    <t>The London</t>
  </si>
  <si>
    <t>https://maps.app.goo.gl/LnWJe9qFZrGnZbAm7</t>
  </si>
  <si>
    <t>Xatisfy Men Salon</t>
  </si>
  <si>
    <t>https://maps.app.goo.gl/oJ2mcdd7aV6b9UBPA</t>
  </si>
  <si>
    <t>The Invite Unisex Salon</t>
  </si>
  <si>
    <t>https://maps.app.goo.gl/6mGD57hiS71bpX9u9</t>
  </si>
  <si>
    <t>Super Style Salon</t>
  </si>
  <si>
    <t>https://maps.app.goo.gl/5HboY2v6uKWC16y29</t>
  </si>
  <si>
    <t>Infinity Salon Lucknow</t>
  </si>
  <si>
    <t>https://maps.app.goo.gl/gBe6YrL7SGCF318m8</t>
  </si>
  <si>
    <t>The client chair beauty salon</t>
  </si>
  <si>
    <t>https://maps.app.goo.gl/XgTYdaGrEx6fqsAu7</t>
  </si>
  <si>
    <t>Get Beauty Salon</t>
  </si>
  <si>
    <t>https://maps.app.goo.gl/97BiekZKyXQzMJJi7</t>
  </si>
  <si>
    <t>Your salon office</t>
  </si>
  <si>
    <t>https://maps.app.goo.gl/mKBQkSiMZdwSUpW86</t>
  </si>
  <si>
    <t>Glow N Glam</t>
  </si>
  <si>
    <t>https://maps.app.goo.gl/hbAMYBHfA6r6Fkr46</t>
  </si>
  <si>
    <t>Smriti Makeovers &amp; Salon</t>
  </si>
  <si>
    <t>https://maps.app.goo.gl/Niebe8kvJMLAUbya6</t>
  </si>
  <si>
    <t>Salon De Beaute</t>
  </si>
  <si>
    <t>https://maps.app.goo.gl/W18Kd3H9ZbDch8DJ9</t>
  </si>
  <si>
    <t>Noor Men's salon</t>
  </si>
  <si>
    <t>https://maps.app.goo.gl/9ihRAdderwHhXkdUA</t>
  </si>
  <si>
    <t>Mini Bridal Studio</t>
  </si>
  <si>
    <t>https://maps.app.goo.gl/yAJGLpJPNnbgrrih9</t>
  </si>
  <si>
    <t>B4 party salon</t>
  </si>
  <si>
    <t>https://maps.app.goo.gl/ds9YAhWiKtyVKb689</t>
  </si>
  <si>
    <t>S &amp; N Discount Inc</t>
  </si>
  <si>
    <t>https://maps.app.goo.gl/EZMfZrvHzmT3FK1m6</t>
  </si>
  <si>
    <t>NYC Wine Merchants</t>
  </si>
  <si>
    <t>https://maps.app.goo.gl/CqEbtZhV8y1mQKqy7</t>
  </si>
  <si>
    <t>Wine Store</t>
  </si>
  <si>
    <t>The Manhattan Wine Shop</t>
  </si>
  <si>
    <t>https://maps.app.goo.gl/gvheLsQEEs1UjpW18</t>
  </si>
  <si>
    <t>The Wine Shop</t>
  </si>
  <si>
    <t>https://maps.app.goo.gl/7pUYT7tWqhG7QUs86</t>
  </si>
  <si>
    <t>Chelsea Wine Cellar Inc</t>
  </si>
  <si>
    <t>https://maps.app.goo.gl/pufYMAVjBvWetAGu8</t>
  </si>
  <si>
    <t>Krishna general store</t>
  </si>
  <si>
    <t>https://maps.app.goo.gl/FvcNQMJSpgww2Hv7A</t>
  </si>
  <si>
    <t>https://maps.app.goo.gl/xBF6RpzPfLdQwkNF8</t>
  </si>
  <si>
    <t>Chaurasia General Store</t>
  </si>
  <si>
    <t>https://maps.app.goo.gl/pqDpSkanN4e7VC788</t>
  </si>
  <si>
    <t>Shivansh General Store</t>
  </si>
  <si>
    <t>https://maps.app.goo.gl/S8HFw67fa7vecWFX8</t>
  </si>
  <si>
    <t>Shree Ji General Store</t>
  </si>
  <si>
    <t>https://maps.app.goo.gl/WH6FUWkJgH31Wt3v5</t>
  </si>
  <si>
    <t>SIDDHARTH GENERAL STORE</t>
  </si>
  <si>
    <t>https://maps.app.goo.gl/HFJ5HuYiQwcynV218</t>
  </si>
  <si>
    <t>https://maps.app.goo.gl/8MSaPeXj9U9Nv9z2A</t>
  </si>
  <si>
    <t>R.S General Store</t>
  </si>
  <si>
    <t>https://maps.app.goo.gl/KBGUaph3xW5YxFxL9</t>
  </si>
  <si>
    <t>Anand General Store (lala ji ki dukan )</t>
  </si>
  <si>
    <t>https://maps.app.goo.gl/wrzSq3AgwqTW5VXc8</t>
  </si>
  <si>
    <t>Kapoor General Store</t>
  </si>
  <si>
    <t>https://maps.app.goo.gl/efghyper893HRvwb7</t>
  </si>
  <si>
    <t>Ma Vaishno General Store</t>
  </si>
  <si>
    <t>https://maps.app.goo.gl/Y4WVcF48CYPsvNMP8</t>
  </si>
  <si>
    <t>R.K Kashyap General Store</t>
  </si>
  <si>
    <t>https://maps.app.goo.gl/QR4cqRFLmMY3ok516</t>
  </si>
  <si>
    <t>Milan A Speciality Restaurant</t>
  </si>
  <si>
    <t>https://maps.app.goo.gl/RqgTZN6mZo8AcgBh8</t>
  </si>
  <si>
    <t>Wish Your Dish Multi Cuisine Restaurant</t>
  </si>
  <si>
    <t>https://maps.app.goo.gl/4V4y8rLYVxZghnY28</t>
  </si>
  <si>
    <t>Restaurant</t>
  </si>
  <si>
    <t>The House 21 | Arabian Restaurant | Chowk | Lucknow</t>
  </si>
  <si>
    <t>https://maps.app.goo.gl/1Ppd8cV3b4Fm1p1E9</t>
  </si>
  <si>
    <t>Mantar Restaurant - Lucknow</t>
  </si>
  <si>
    <t>https://maps.app.goo.gl/7mbsUxP3eY37PbU96</t>
  </si>
  <si>
    <t>Windsor Wine Shop</t>
  </si>
  <si>
    <t>https://maps.app.goo.gl/hryoHK2H3qz26dN98</t>
  </si>
  <si>
    <t>BARRELMORE WINE &amp; SPIRITS</t>
  </si>
  <si>
    <t>https://maps.app.goo.gl/6t8Q4o9LR9EZcAv56</t>
  </si>
  <si>
    <t>Mark's Wine &amp; Spirits Inc.</t>
  </si>
  <si>
    <t>https://maps.app.goo.gl/m4U7G5LYLi2P63wk6</t>
  </si>
  <si>
    <t>Spring Street Wine Shop</t>
  </si>
  <si>
    <t>https://maps.app.goo.gl/zXnWuSi8BLvvwbbLA</t>
  </si>
  <si>
    <t>Vintage On Second (Wine and Liquor Store)</t>
  </si>
  <si>
    <t>https://maps.app.goo.gl/bBcQbMqHTxLoyGnH6</t>
  </si>
  <si>
    <t>The House 21 | Arabian Restaurant in Lucknow</t>
  </si>
  <si>
    <t>https://maps.app.goo.gl/2nCBY6bBpLvegbVt5</t>
  </si>
  <si>
    <t>City Restaurant | Best Restaurant in Lucknow</t>
  </si>
  <si>
    <t>https://maps.app.goo.gl/ichyDJ2jqgMKHX2Z6</t>
  </si>
  <si>
    <t>The Mughal's Dastarkhwan</t>
  </si>
  <si>
    <t>https://maps.app.goo.gl/6Ma2ruogEqvcwHsb7</t>
  </si>
  <si>
    <t>Moti Mahal Restaurant</t>
  </si>
  <si>
    <t>https://maps.app.goo.gl/NeEvbTGDCA55QnT29</t>
  </si>
  <si>
    <t>The Pacific Hut - Family Restaurants in Lucknow</t>
  </si>
  <si>
    <t>https://maps.app.goo.gl/gq8Jk46RXMJR37Kt5</t>
  </si>
  <si>
    <t>Royal Sky</t>
  </si>
  <si>
    <t>https://maps.app.goo.gl/Nauro52Ep9Ksx6P48</t>
  </si>
  <si>
    <t>Hons - All day Dining</t>
  </si>
  <si>
    <t>https://maps.app.goo.gl/QWTrvUPPMqTB1SMq6</t>
  </si>
  <si>
    <t>Dine Out City (DOC)</t>
  </si>
  <si>
    <t>https://maps.app.goo.gl/F9FsoccepN8fxVSG7</t>
  </si>
  <si>
    <t>The Terrace</t>
  </si>
  <si>
    <t>https://maps.app.goo.gl/AnMjBgcs5yf8a5RB9</t>
  </si>
  <si>
    <t>Bagicha - By Dayal Bagh</t>
  </si>
  <si>
    <t>https://maps.app.goo.gl/CSzVstPSDNLdCmwQ6</t>
  </si>
  <si>
    <t>SMALL PARTY WALE</t>
  </si>
  <si>
    <t>https://maps.app.goo.gl/QAZHK8YLJpUk5GsF6</t>
  </si>
  <si>
    <t>The Fresh Factory</t>
  </si>
  <si>
    <t>https://maps.app.goo.gl/tzP5a1PJ4xaizEjB9</t>
  </si>
  <si>
    <t>Free Spirit</t>
  </si>
  <si>
    <t>https://maps.app.goo.gl/WAGF3raXgK14D5PK8</t>
  </si>
  <si>
    <t>Best Choice Of Awadh</t>
  </si>
  <si>
    <t>https://maps.app.goo.gl/EHNcf8pSUF7o2WJY6</t>
  </si>
  <si>
    <t>New York Clothing Store</t>
  </si>
  <si>
    <t>https://maps.app.goo.gl/kibj2N54D31TJUHk6</t>
  </si>
  <si>
    <t xml:space="preserve">Clothing Store </t>
  </si>
  <si>
    <t>https://maps.app.goo.gl/areTEFdno8VPnn5V7</t>
  </si>
  <si>
    <t>Chinatown Building Supply Inc</t>
  </si>
  <si>
    <t>https://maps.app.goo.gl/wDicK1asnHRc2XUy6</t>
  </si>
  <si>
    <t>Building Materials Store</t>
  </si>
  <si>
    <t>https://maps.app.goo.gl/KkTMDF1kW1nyHHxz5</t>
  </si>
  <si>
    <t>Hermès Meatpacking</t>
  </si>
  <si>
    <t>https://maps.app.goo.gl/Q8MgC11NoCLoAHqA9</t>
  </si>
  <si>
    <t>The Marigold- Fine Dine Restaurant</t>
  </si>
  <si>
    <t>https://maps.app.goo.gl/ktUJrggvkBAWFapg8</t>
  </si>
  <si>
    <t>Royal Rangoli Restaurant</t>
  </si>
  <si>
    <t>https://maps.app.goo.gl/XbboprSC6sEMmY9z5</t>
  </si>
  <si>
    <t>Barkaas Indo-Arabic Restaurant</t>
  </si>
  <si>
    <t>https://maps.app.goo.gl/BpTbqEr4B6ZvmakJ8</t>
  </si>
  <si>
    <t>FalakNuma Restaurant</t>
  </si>
  <si>
    <t>https://maps.app.goo.gl/mWViUJKs8Bf5pKFr9</t>
  </si>
  <si>
    <t>The Centurion</t>
  </si>
  <si>
    <t>https://maps.app.goo.gl/RLRHGDCR8E5Myrz76</t>
  </si>
  <si>
    <t>Lucknow Cakes</t>
  </si>
  <si>
    <t>https://maps.app.goo.gl/yqC2wGJt7YZoQYPG7</t>
  </si>
  <si>
    <t>Globe Baker's &amp; Cafe</t>
  </si>
  <si>
    <t>https://maps.app.goo.gl/MrfAvdVwLDPzqM3t5</t>
  </si>
  <si>
    <t>Good Bakery</t>
  </si>
  <si>
    <t>https://maps.app.goo.gl/FyaY9fg4MYmzZF4TA</t>
  </si>
  <si>
    <t>Shama Bakery</t>
  </si>
  <si>
    <t>https://maps.app.goo.gl/mHpPAbdXaeDmFJn2A</t>
  </si>
  <si>
    <t>JJ Bakers</t>
  </si>
  <si>
    <t>https://maps.app.goo.gl/APm1CMCv3BLGAWYJA</t>
  </si>
  <si>
    <t>New Brownie Bakery &amp; Confectionery</t>
  </si>
  <si>
    <t>https://maps.app.goo.gl/qH3XPDtRq4H8szHk8</t>
  </si>
  <si>
    <t>Silver Spoon Bakers and Cafe (Aishbagh)</t>
  </si>
  <si>
    <t>https://maps.app.goo.gl/YJKk2YKHJMg8LVjB6</t>
  </si>
  <si>
    <t>The Cherry Tree Cafe</t>
  </si>
  <si>
    <t>https://maps.app.goo.gl/UQLBrWnu4Xob1EEC8</t>
  </si>
  <si>
    <t>Good Bakery Gomtinagar</t>
  </si>
  <si>
    <t>https://maps.app.goo.gl/r4f5MGbzJ4MMfCBaA</t>
  </si>
  <si>
    <t>Durham Bakery</t>
  </si>
  <si>
    <t>https://maps.app.goo.gl/F3t4iiRuPTXcUGnUA</t>
  </si>
  <si>
    <t>No. 10 Bakery - Best bakery In Lucknow</t>
  </si>
  <si>
    <t>https://maps.app.goo.gl/dqv2WU6xSFGS4EJS7</t>
  </si>
  <si>
    <t>NICE BAKERY</t>
  </si>
  <si>
    <t>https://maps.app.goo.gl/UNsrtNT5wggWkhJY6</t>
  </si>
  <si>
    <t>Apollo Bakery Shop</t>
  </si>
  <si>
    <t>https://maps.app.goo.gl/ss93NukzhwUkbGGW6</t>
  </si>
  <si>
    <t>Sugar High Food | Aminabad | Lucknow</t>
  </si>
  <si>
    <t>https://maps.app.goo.gl/3nGf7tMoy8p2by256</t>
  </si>
  <si>
    <t>Burma Bakery</t>
  </si>
  <si>
    <t>https://maps.app.goo.gl/qCqY4imswcPLrVvK9</t>
  </si>
  <si>
    <t>Sweet Luscious</t>
  </si>
  <si>
    <t>https://maps.app.goo.gl/Nbd7HTETtWZ5fr2q8</t>
  </si>
  <si>
    <t>Sunny Bakery</t>
  </si>
  <si>
    <t>https://maps.app.goo.gl/29JV5JB6rjyWHyxQA</t>
  </si>
  <si>
    <t>Indian cake shop and bakery</t>
  </si>
  <si>
    <t>https://maps.app.goo.gl/qsku31xL88XC1mtz6</t>
  </si>
  <si>
    <t>Shyam bakery</t>
  </si>
  <si>
    <t>https://maps.app.goo.gl/n3YXJ1WvBEfuoJkq6</t>
  </si>
  <si>
    <t>THE CAKE CORNER BAKERY</t>
  </si>
  <si>
    <t>https://maps.app.goo.gl/xUvpWVDZN6Fvc42q6</t>
  </si>
  <si>
    <t>Bengal Bakery</t>
  </si>
  <si>
    <t>https://maps.app.goo.gl/1oW5EyqTVRY9oRnV7</t>
  </si>
  <si>
    <t>New Good Bakers</t>
  </si>
  <si>
    <t>https://maps.app.goo.gl/cNrSqbLCixh9v1ow8</t>
  </si>
  <si>
    <t>Ganj Bakery</t>
  </si>
  <si>
    <t>https://maps.app.goo.gl/EZ1zfkbPERP4MD9Z9</t>
  </si>
  <si>
    <t>The Cake Haven</t>
  </si>
  <si>
    <t>https://maps.app.goo.gl/TgpFra9btuiWvDsW8</t>
  </si>
  <si>
    <t>JL Cakers</t>
  </si>
  <si>
    <t>https://maps.app.goo.gl/sRmdtqWSxyuBhgKN9</t>
  </si>
  <si>
    <t>Elman's Wines &amp; Liquors</t>
  </si>
  <si>
    <t>https://maps.app.goo.gl/RZUwFGSjhCmVshGM9</t>
  </si>
  <si>
    <t>Reidy Wine &amp; Liquor Inc</t>
  </si>
  <si>
    <t>https://maps.app.goo.gl/MTqv4uMzowXmNwEx7</t>
  </si>
  <si>
    <t>De Lauren Wines &amp; Spirits</t>
  </si>
  <si>
    <t>https://maps.app.goo.gl/SrbYEuozp4Wvr95G6</t>
  </si>
  <si>
    <t>Santo Domingo Bakery</t>
  </si>
  <si>
    <t>https://maps.app.goo.gl/E4wqyKBhc8MceAsk7</t>
  </si>
  <si>
    <t>Yue Lai Bakery</t>
  </si>
  <si>
    <t>https://maps.app.goo.gl/ZKFjGfXVXmGTY92m6</t>
  </si>
  <si>
    <t>Patna</t>
  </si>
  <si>
    <t>Urmila Medical Hall</t>
  </si>
  <si>
    <t>https://maps.app.goo.gl/LCzDJbrRhBBZHzrr7</t>
  </si>
  <si>
    <t>Lifeline Medicals</t>
  </si>
  <si>
    <t>https://maps.app.goo.gl/TDUWwdEWZBwHyLCQ9</t>
  </si>
  <si>
    <t>Nalanda Medical Hall नालंदा मेडिकल हाल</t>
  </si>
  <si>
    <t>https://maps.app.goo.gl/rtH5fN1xqASULepG7</t>
  </si>
  <si>
    <t>Nirmal Medico</t>
  </si>
  <si>
    <t>https://maps.app.goo.gl/poKEZjsaYRqQ4Jou9</t>
  </si>
  <si>
    <t>Dadiji Medical Store</t>
  </si>
  <si>
    <t>https://maps.app.goo.gl/ypcLrYhsppvcW9VH6</t>
  </si>
  <si>
    <t>MAA TARA MEDICAL HALL</t>
  </si>
  <si>
    <t>https://maps.app.goo.gl/8dcHQ3USzeQQqv6C8</t>
  </si>
  <si>
    <t>Sona Medical</t>
  </si>
  <si>
    <t>https://maps.app.goo.gl/3X2AT9GaaPfLUsZw7</t>
  </si>
  <si>
    <t>Riya Medical Hall</t>
  </si>
  <si>
    <t>https://maps.app.goo.gl/zVBeL5pWbrGfxkSa7</t>
  </si>
  <si>
    <t>Nalanda Medicals</t>
  </si>
  <si>
    <t>https://maps.app.goo.gl/DrdRS2hry5sbyrsy8</t>
  </si>
  <si>
    <t>Sona Medicals</t>
  </si>
  <si>
    <t>https://maps.app.goo.gl/QoJgDcTdngCAH9A16</t>
  </si>
  <si>
    <t>Alok medicals hall</t>
  </si>
  <si>
    <t>https://maps.app.goo.gl/bU1PPanwjSNDoqwq9</t>
  </si>
  <si>
    <t>Anuradha Medicals</t>
  </si>
  <si>
    <t>https://maps.app.goo.gl/kR7jtLxuL4oiDaxE8</t>
  </si>
  <si>
    <t>JALPAN MEDICAL HALL</t>
  </si>
  <si>
    <t>https://maps.app.goo.gl/j2nTiNoD48Te77oXA</t>
  </si>
  <si>
    <t>Paras Medical Hall</t>
  </si>
  <si>
    <t>https://maps.app.goo.gl/sbneKqdwRbKKwSc99</t>
  </si>
  <si>
    <t>Ujala Medical</t>
  </si>
  <si>
    <t>https://maps.app.goo.gl/McwUurVvyMkMqJgL9</t>
  </si>
  <si>
    <t>Elegant Express Tailor</t>
  </si>
  <si>
    <t>https://maps.app.goo.gl/1eFKWkjmXtqrAse57</t>
  </si>
  <si>
    <t>Cardelino NYC Tailoring</t>
  </si>
  <si>
    <t>https://maps.app.goo.gl/y3j7Bu67HpoTF5yG7</t>
  </si>
  <si>
    <t>P J D Custom Tailoring &amp; Alterations</t>
  </si>
  <si>
    <t>https://maps.app.goo.gl/xb2DNxeZDDDfmHRS8</t>
  </si>
  <si>
    <t>D'Alex Tailor Shop</t>
  </si>
  <si>
    <t>https://maps.app.goo.gl/6jq5A8nWATbQfZHx9</t>
  </si>
  <si>
    <t>Sastreria Garcia</t>
  </si>
  <si>
    <t>https://maps.app.goo.gl/VK8bYpz6nyTyLMGN9</t>
  </si>
  <si>
    <t>Medisinen Medical Shop</t>
  </si>
  <si>
    <t>https://maps.app.goo.gl/bVa56rn7MDvG4Vdy9</t>
  </si>
  <si>
    <t>Drug O2 | Medical Store | Online Medicine Order Patna</t>
  </si>
  <si>
    <t>https://maps.app.goo.gl/UNNj8RU9cJnWzKFf9</t>
  </si>
  <si>
    <t>Radha Medicals</t>
  </si>
  <si>
    <t>https://maps.app.goo.gl/8mhNHs1X5XToWmZK9</t>
  </si>
  <si>
    <t>SAGUN MEDICAL</t>
  </si>
  <si>
    <t>https://maps.app.goo.gl/pJEgvitVF6LfkWQ99</t>
  </si>
  <si>
    <t>Healthcare Medicines - Home delivery available</t>
  </si>
  <si>
    <t>https://maps.app.goo.gl/R8n6KZiDRfFLE3Pw6</t>
  </si>
  <si>
    <t>Geetanjali Medical</t>
  </si>
  <si>
    <t>https://maps.app.goo.gl/EYP6XF4H1wmHNwtq7</t>
  </si>
  <si>
    <t>New GetWell Medical</t>
  </si>
  <si>
    <t>https://maps.app.goo.gl/5dh9pFhJSZCrfcsU7</t>
  </si>
  <si>
    <t>New Krishna Medical Hall</t>
  </si>
  <si>
    <t>https://maps.app.goo.gl/hRLgL4vzpT48YYh9A</t>
  </si>
  <si>
    <t>Kamal Medical Hall</t>
  </si>
  <si>
    <t>https://maps.app.goo.gl/6qwJ2jqBntNpsxCq9</t>
  </si>
  <si>
    <t>Aditya Medicals</t>
  </si>
  <si>
    <t>https://maps.app.goo.gl/54K4dsA5JBvnXX6e6</t>
  </si>
  <si>
    <t>Shobha Medicals</t>
  </si>
  <si>
    <t>https://maps.app.goo.gl/RpbNPNnLj1sZSpBUA</t>
  </si>
  <si>
    <t>Anubha Medical Hall</t>
  </si>
  <si>
    <t>https://maps.app.goo.gl/xkQq5Pux4Rx1uT4c6</t>
  </si>
  <si>
    <t>AUSHDHAM MEDICAL STORE</t>
  </si>
  <si>
    <t>https://maps.app.goo.gl/FYcifXwevE523wg79</t>
  </si>
  <si>
    <t>Sri Vishnu Medical Hall, Patna</t>
  </si>
  <si>
    <t>https://maps.app.goo.gl/AGJDKxTCij2YVBHr7</t>
  </si>
  <si>
    <t>New Chopra Medical</t>
  </si>
  <si>
    <t>https://maps.app.goo.gl/2U63iubCrh786xiK9</t>
  </si>
  <si>
    <t>Expert Tailoring</t>
  </si>
  <si>
    <t>https://maps.app.goo.gl/QYE7UDQKzT5a1qXr7</t>
  </si>
  <si>
    <t>Alteration Concept</t>
  </si>
  <si>
    <t>https://maps.app.goo.gl/px7TFBKq2xdRpagU9</t>
  </si>
  <si>
    <t>BLUE 35 TAILOR &amp; CLEANERS</t>
  </si>
  <si>
    <t>https://maps.app.goo.gl/E6qg3MmRHLnd9SV18</t>
  </si>
  <si>
    <t>Larry Custom Tailors and Alterations</t>
  </si>
  <si>
    <t>https://maps.app.goo.gl/H4wNZ2sCC3Fn45AP9</t>
  </si>
  <si>
    <t>Adelso Clasico Tailor</t>
  </si>
  <si>
    <t>https://maps.app.goo.gl/76gEjcmfzPM1n1Pz9</t>
  </si>
  <si>
    <t>Gayatri Medical Hall</t>
  </si>
  <si>
    <t>https://maps.app.goo.gl/XVmfK8y66mdWsi8r7</t>
  </si>
  <si>
    <t>Mahaveer Medicals</t>
  </si>
  <si>
    <t>https://maps.app.goo.gl/VzCMTa1xKq4N8WMn9</t>
  </si>
  <si>
    <t>Divya Medico</t>
  </si>
  <si>
    <t>https://maps.app.goo.gl/vuqJy2yhxozMn8hr8</t>
  </si>
  <si>
    <t>PRABHAT MEDICAL HALL</t>
  </si>
  <si>
    <t>https://maps.app.goo.gl/YUBhW55pHToaxg826</t>
  </si>
  <si>
    <t>Tara Medical Hall</t>
  </si>
  <si>
    <t>https://maps.app.goo.gl/i6zCfe4riLm4ZFmN8</t>
  </si>
  <si>
    <t>Unani medical patna</t>
  </si>
  <si>
    <t>https://maps.app.goo.gl/DX8wk2FGCwqqVwWJ6</t>
  </si>
  <si>
    <t>DEV MEDICAL &amp; Path Lab center</t>
  </si>
  <si>
    <t>https://maps.app.goo.gl/avSoLBL7ZoiikyGr5</t>
  </si>
  <si>
    <t>Pacific Surgicals And Pharmacy</t>
  </si>
  <si>
    <t>https://maps.app.goo.gl/HbavHWZzPp2iiKpaA</t>
  </si>
  <si>
    <t>Medical Store</t>
  </si>
  <si>
    <t>https://maps.app.goo.gl/XZzySez27gdwPd6o9</t>
  </si>
  <si>
    <t>Dawai Medical Hall</t>
  </si>
  <si>
    <t>https://maps.app.goo.gl/bdRASB34szttVtTNA</t>
  </si>
  <si>
    <t>Sulekha Medical Hall</t>
  </si>
  <si>
    <t>https://maps.app.goo.gl/sShNStGhCEYayiKs6</t>
  </si>
  <si>
    <t>Mahaveer Medical</t>
  </si>
  <si>
    <t>https://maps.app.goo.gl/Jo1DDFc4FsY4mn82A</t>
  </si>
  <si>
    <t>Jain Medical Agency</t>
  </si>
  <si>
    <t>https://maps.app.goo.gl/U6GjyB97wYVMLNT38</t>
  </si>
  <si>
    <t>Tailor New York</t>
  </si>
  <si>
    <t>https://maps.app.goo.gl/fJt1FVvSNYZ3PUz18</t>
  </si>
  <si>
    <t>Bosco &amp; Barraza Tailors</t>
  </si>
  <si>
    <t>https://maps.app.goo.gl/HLtkVGGYiST4nj5V8</t>
  </si>
  <si>
    <t>Woodside Tailor Shop</t>
  </si>
  <si>
    <t>https://maps.app.goo.gl/Lhr7GNA1W6tSA2iS6</t>
  </si>
  <si>
    <t>LNC Tailor &amp; Bespoke Shop est 1981</t>
  </si>
  <si>
    <t>https://maps.app.goo.gl/DVq9KBV5KKXCJGjT9</t>
  </si>
  <si>
    <t>https://maps.app.goo.gl/h8MahW6yii6aTBjQ9</t>
  </si>
  <si>
    <t>Mobile medical</t>
  </si>
  <si>
    <t>https://maps.app.goo.gl/RWyvkQ91hoHLPvZw9</t>
  </si>
  <si>
    <t>Sri Maa Medical</t>
  </si>
  <si>
    <t>https://maps.app.goo.gl/91WGK16EK8MmVYxG8</t>
  </si>
  <si>
    <t>https://maps.app.goo.gl/HLTBEoMhCUiXNdsA9</t>
  </si>
  <si>
    <t>Das Medical Hall</t>
  </si>
  <si>
    <t>https://maps.app.goo.gl/bjZegjkSwRA84cA4A</t>
  </si>
  <si>
    <t>Ayush Medical</t>
  </si>
  <si>
    <t>https://maps.app.goo.gl/DkL3kFFn3PD3UkxG6</t>
  </si>
  <si>
    <t>Clean_Category</t>
  </si>
  <si>
    <t>Business_Type</t>
  </si>
  <si>
    <t>Predicted_Review_Probability</t>
  </si>
  <si>
    <t>Beauty Salon</t>
  </si>
  <si>
    <t>Indian</t>
  </si>
  <si>
    <t>Nalanda Medical Hall à¤¨à¤¾à¤²à¤‚à¤¦à¤¾ à¤®à¥‡à¤¡à¤¿à¤•à¤² à¤¹à¤¾à¤²</t>
  </si>
  <si>
    <t>No Review Data</t>
  </si>
  <si>
    <t>Foreign</t>
  </si>
  <si>
    <t>YÃ¹nhÃ³ng Chopsticks</t>
  </si>
  <si>
    <t>Clothing Store</t>
  </si>
  <si>
    <t>HermÃ¨s Meatpacking</t>
  </si>
  <si>
    <t>Rating_Score</t>
  </si>
  <si>
    <t>Review_Data_Available</t>
  </si>
  <si>
    <t>Review_Class</t>
  </si>
  <si>
    <t>Predicted_Review_Class</t>
  </si>
  <si>
    <t>Review Data Available</t>
  </si>
  <si>
    <t>High</t>
  </si>
  <si>
    <t>Medium</t>
  </si>
  <si>
    <t>Low</t>
  </si>
  <si>
    <t>Company_Name_Length</t>
  </si>
  <si>
    <t>Numerical_Review</t>
  </si>
  <si>
    <t>COUNTA of CONTACT</t>
  </si>
  <si>
    <t>Grand Total</t>
  </si>
  <si>
    <t>COUNTA of Company</t>
  </si>
  <si>
    <t>COUNTA of Category</t>
  </si>
  <si>
    <t>SUM of Reviews</t>
  </si>
  <si>
    <t>AVERAGE of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</si>
</sst>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u/>
      <sz val="11"/>
      <color rgb="FF0000FF"/>
      <name val="Arial"/>
    </font>
    <font>
      <b/>
      <sz val="11"/>
      <color theme="1"/>
      <name val="Arial"/>
    </font>
    <font>
      <b/>
      <sz val="11"/>
      <color rgb="FF4A86E8"/>
      <name val="Arial"/>
    </font>
    <font>
      <b/>
      <sz val="10"/>
      <color theme="1"/>
      <name val="Arial"/>
      <scheme val="minor"/>
    </font>
    <font>
      <sz val="11"/>
      <color theme="1"/>
      <name val="Arial"/>
    </font>
    <font>
      <sz val="10"/>
      <color rgb="FF1F1F1F"/>
      <name val="Google Sans"/>
    </font>
    <font>
      <u/>
      <sz val="11"/>
      <color rgb="FF1155CC"/>
      <name val="Arial"/>
    </font>
    <font>
      <sz val="10"/>
      <color theme="1"/>
      <name val="Arial"/>
    </font>
    <font>
      <u/>
      <sz val="11"/>
      <color rgb="FF0000FF"/>
      <name val="Arial"/>
    </font>
    <font>
      <u/>
      <sz val="10"/>
      <color rgb="FF1155CC"/>
      <name val="Arial"/>
    </font>
    <font>
      <sz val="11"/>
      <color theme="1"/>
      <name val="Calibri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1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6332A"/>
        <bgColor rgb="FF26332A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/>
    <xf numFmtId="0" fontId="8" fillId="0" borderId="0" xfId="0" applyFont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3" fontId="11" fillId="2" borderId="0" xfId="0" applyNumberFormat="1" applyFont="1" applyFill="1" applyAlignment="1">
      <alignment horizontal="right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11" fontId="15" fillId="0" borderId="0" xfId="0" applyNumberFormat="1" applyFont="1" applyAlignment="1">
      <alignment horizontal="right"/>
    </xf>
    <xf numFmtId="0" fontId="16" fillId="0" borderId="0" xfId="0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3" fillId="3" borderId="0" xfId="0" applyFont="1" applyFill="1"/>
    <xf numFmtId="0" fontId="0" fillId="0" borderId="0" xfId="0"/>
    <xf numFmtId="0" fontId="15" fillId="0" borderId="0" xfId="0" applyFont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3" xfId="0" applyNumberFormat="1" applyBorder="1"/>
    <xf numFmtId="0" fontId="0" fillId="0" borderId="0" xfId="0" applyNumberFormat="1"/>
    <xf numFmtId="0" fontId="0" fillId="0" borderId="5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26332A"/>
                </a:solidFill>
                <a:latin typeface="+mn-lt"/>
              </a:defRPr>
            </a:pPr>
            <a:r>
              <a:rPr lang="en-IN" b="1">
                <a:solidFill>
                  <a:srgbClr val="26332A"/>
                </a:solidFill>
                <a:latin typeface="+mn-lt"/>
              </a:rPr>
              <a:t>CONTACT AVAILABILITY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'Contact Availability'!$B$1</c:f>
              <c:strCache>
                <c:ptCount val="1"/>
                <c:pt idx="0">
                  <c:v>COUNTA of CONTACT</c:v>
                </c:pt>
              </c:strCache>
            </c:strRef>
          </c:tx>
          <c:dPt>
            <c:idx val="0"/>
            <c:bubble3D val="0"/>
            <c:spPr>
              <a:solidFill>
                <a:srgbClr val="789262"/>
              </a:solidFill>
            </c:spPr>
            <c:extLst>
              <c:ext xmlns:c16="http://schemas.microsoft.com/office/drawing/2014/chart" uri="{C3380CC4-5D6E-409C-BE32-E72D297353CC}">
                <c16:uniqueId val="{00000001-4EB5-4E0A-9BF8-3EDC5C304B86}"/>
              </c:ext>
            </c:extLst>
          </c:dPt>
          <c:dPt>
            <c:idx val="1"/>
            <c:bubble3D val="0"/>
            <c:spPr>
              <a:solidFill>
                <a:srgbClr val="8297A6"/>
              </a:solidFill>
            </c:spPr>
            <c:extLst>
              <c:ext xmlns:c16="http://schemas.microsoft.com/office/drawing/2014/chart" uri="{C3380CC4-5D6E-409C-BE32-E72D297353CC}">
                <c16:uniqueId val="{00000003-4EB5-4E0A-9BF8-3EDC5C304B86}"/>
              </c:ext>
            </c:extLst>
          </c:dPt>
          <c:cat>
            <c:strRef>
              <c:f>'Contact Availability'!$A$2:$A$3</c:f>
              <c:strCache>
                <c:ptCount val="2"/>
                <c:pt idx="0">
                  <c:v>India</c:v>
                </c:pt>
                <c:pt idx="1">
                  <c:v>USA</c:v>
                </c:pt>
              </c:strCache>
            </c:strRef>
          </c:cat>
          <c:val>
            <c:numRef>
              <c:f>'Contact Availability'!$B$2:$B$3</c:f>
              <c:numCache>
                <c:formatCode>General</c:formatCode>
                <c:ptCount val="2"/>
                <c:pt idx="0">
                  <c:v>207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B5-4E0A-9BF8-3EDC5C304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6332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7F3EA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26332A"/>
                </a:solidFill>
                <a:latin typeface="+mn-lt"/>
              </a:defRPr>
            </a:pPr>
            <a:r>
              <a:rPr lang="en-IN" b="1">
                <a:solidFill>
                  <a:srgbClr val="26332A"/>
                </a:solidFill>
                <a:latin typeface="+mn-lt"/>
              </a:rPr>
              <a:t>AVERAGE Ratings vs.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rating by Category'!$B$1</c:f>
              <c:strCache>
                <c:ptCount val="1"/>
                <c:pt idx="0">
                  <c:v>AVERAGE of Ratings</c:v>
                </c:pt>
              </c:strCache>
            </c:strRef>
          </c:tx>
          <c:spPr>
            <a:solidFill>
              <a:srgbClr val="789262"/>
            </a:solidFill>
            <a:ln cmpd="sng">
              <a:noFill/>
            </a:ln>
          </c:spPr>
          <c:invertIfNegative val="0"/>
          <c:cat>
            <c:strRef>
              <c:f>'AVG rating by Category'!$A$2:$A$13</c:f>
              <c:strCache>
                <c:ptCount val="12"/>
                <c:pt idx="0">
                  <c:v>Beauty Salon </c:v>
                </c:pt>
                <c:pt idx="1">
                  <c:v>Building Materials Store</c:v>
                </c:pt>
                <c:pt idx="2">
                  <c:v>Cake Shop</c:v>
                </c:pt>
                <c:pt idx="3">
                  <c:v>Clothing Store </c:v>
                </c:pt>
                <c:pt idx="4">
                  <c:v>Garage</c:v>
                </c:pt>
                <c:pt idx="5">
                  <c:v>General Store</c:v>
                </c:pt>
                <c:pt idx="6">
                  <c:v>Grocery Store</c:v>
                </c:pt>
                <c:pt idx="7">
                  <c:v>Home Goods Store</c:v>
                </c:pt>
                <c:pt idx="8">
                  <c:v>Pharmacy</c:v>
                </c:pt>
                <c:pt idx="9">
                  <c:v>Restaurant</c:v>
                </c:pt>
                <c:pt idx="10">
                  <c:v>Tailor</c:v>
                </c:pt>
                <c:pt idx="11">
                  <c:v>Wine Store</c:v>
                </c:pt>
              </c:strCache>
            </c:strRef>
          </c:cat>
          <c:val>
            <c:numRef>
              <c:f>'AVG rating by Category'!$B$2:$B$13</c:f>
              <c:numCache>
                <c:formatCode>General</c:formatCode>
                <c:ptCount val="12"/>
                <c:pt idx="0">
                  <c:v>4.79</c:v>
                </c:pt>
                <c:pt idx="1">
                  <c:v>4.7</c:v>
                </c:pt>
                <c:pt idx="2">
                  <c:v>4.2731707317073164</c:v>
                </c:pt>
                <c:pt idx="3">
                  <c:v>1.75</c:v>
                </c:pt>
                <c:pt idx="4">
                  <c:v>3.4684210526315784</c:v>
                </c:pt>
                <c:pt idx="5">
                  <c:v>4.4500000000000011</c:v>
                </c:pt>
                <c:pt idx="6">
                  <c:v>4.3562500000000002</c:v>
                </c:pt>
                <c:pt idx="7">
                  <c:v>4.5999999999999996</c:v>
                </c:pt>
                <c:pt idx="8">
                  <c:v>4.274193548387097</c:v>
                </c:pt>
                <c:pt idx="9">
                  <c:v>4.321739130434783</c:v>
                </c:pt>
                <c:pt idx="10">
                  <c:v>4.4250000000000016</c:v>
                </c:pt>
                <c:pt idx="11">
                  <c:v>4.1444444444444457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1-4CCF-A09C-ED248296E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0582876"/>
        <c:axId val="69924903"/>
      </c:barChart>
      <c:catAx>
        <c:axId val="1170582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332A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6332A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5C665E"/>
                </a:solidFill>
                <a:latin typeface="+mn-lt"/>
              </a:defRPr>
            </a:pPr>
            <a:endParaRPr lang="en-US"/>
          </a:p>
        </c:txPr>
        <c:crossAx val="69924903"/>
        <c:crosses val="autoZero"/>
        <c:auto val="1"/>
        <c:lblAlgn val="ctr"/>
        <c:lblOffset val="100"/>
        <c:noMultiLvlLbl val="1"/>
      </c:catAx>
      <c:valAx>
        <c:axId val="69924903"/>
        <c:scaling>
          <c:orientation val="minMax"/>
        </c:scaling>
        <c:delete val="0"/>
        <c:axPos val="l"/>
        <c:majorGridlines>
          <c:spPr>
            <a:ln>
              <a:solidFill>
                <a:srgbClr val="D6CFC2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332A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6332A"/>
                    </a:solidFill>
                    <a:latin typeface="+mn-lt"/>
                  </a:rPr>
                  <a:t>AVERAGE of Ratings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5C665E"/>
                </a:solidFill>
                <a:latin typeface="+mn-lt"/>
              </a:defRPr>
            </a:pPr>
            <a:endParaRPr lang="en-US"/>
          </a:p>
        </c:txPr>
        <c:crossAx val="11705828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7F3EA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26332A"/>
                </a:solidFill>
                <a:latin typeface="+mn-lt"/>
              </a:defRPr>
            </a:pPr>
            <a:r>
              <a:rPr lang="en-IN" b="1">
                <a:solidFill>
                  <a:srgbClr val="26332A"/>
                </a:solidFill>
                <a:latin typeface="+mn-lt"/>
              </a:rPr>
              <a:t>Count of Category vs. City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'Business by city'!$B$1</c:f>
              <c:strCache>
                <c:ptCount val="1"/>
                <c:pt idx="0">
                  <c:v>COUNTA of Category</c:v>
                </c:pt>
              </c:strCache>
            </c:strRef>
          </c:tx>
          <c:spPr>
            <a:solidFill>
              <a:srgbClr val="789262"/>
            </a:solidFill>
            <a:ln cmpd="sng">
              <a:noFill/>
            </a:ln>
          </c:spPr>
          <c:invertIfNegative val="0"/>
          <c:cat>
            <c:strRef>
              <c:f>'Business by city'!$A$2:$A$4</c:f>
              <c:strCache>
                <c:ptCount val="3"/>
                <c:pt idx="0">
                  <c:v>Lucknow</c:v>
                </c:pt>
                <c:pt idx="1">
                  <c:v>New York</c:v>
                </c:pt>
                <c:pt idx="2">
                  <c:v>Patna</c:v>
                </c:pt>
              </c:strCache>
            </c:strRef>
          </c:cat>
          <c:val>
            <c:numRef>
              <c:f>'Business by city'!$B$2:$B$4</c:f>
              <c:numCache>
                <c:formatCode>General</c:formatCode>
                <c:ptCount val="3"/>
                <c:pt idx="0">
                  <c:v>159</c:v>
                </c:pt>
                <c:pt idx="1">
                  <c:v>90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0-476D-B2EC-31F241347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8512867"/>
        <c:axId val="1512017784"/>
      </c:barChart>
      <c:catAx>
        <c:axId val="14885128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6332A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6332A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5C665E"/>
                </a:solidFill>
                <a:latin typeface="+mn-lt"/>
              </a:defRPr>
            </a:pPr>
            <a:endParaRPr lang="en-US"/>
          </a:p>
        </c:txPr>
        <c:crossAx val="1512017784"/>
        <c:crosses val="autoZero"/>
        <c:auto val="1"/>
        <c:lblAlgn val="ctr"/>
        <c:lblOffset val="100"/>
        <c:noMultiLvlLbl val="1"/>
      </c:catAx>
      <c:valAx>
        <c:axId val="1512017784"/>
        <c:scaling>
          <c:orientation val="minMax"/>
        </c:scaling>
        <c:delete val="0"/>
        <c:axPos val="b"/>
        <c:majorGridlines>
          <c:spPr>
            <a:ln>
              <a:solidFill>
                <a:srgbClr val="D6CFC2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332A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6332A"/>
                    </a:solidFill>
                    <a:latin typeface="+mn-lt"/>
                  </a:rPr>
                  <a:t>Count of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5C665E"/>
                </a:solidFill>
                <a:latin typeface="+mn-lt"/>
              </a:defRPr>
            </a:pPr>
            <a:endParaRPr lang="en-US"/>
          </a:p>
        </c:txPr>
        <c:crossAx val="148851286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7F3EA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26332A"/>
                </a:solidFill>
                <a:latin typeface="+mn-lt"/>
              </a:defRPr>
            </a:pPr>
            <a:r>
              <a:rPr lang="en-IN" b="1">
                <a:solidFill>
                  <a:srgbClr val="26332A"/>
                </a:solidFill>
                <a:latin typeface="+mn-lt"/>
              </a:rPr>
              <a:t>Reviews vs.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By Reviews'!$B$1</c:f>
              <c:strCache>
                <c:ptCount val="1"/>
                <c:pt idx="0">
                  <c:v>SUM of Reviews</c:v>
                </c:pt>
              </c:strCache>
            </c:strRef>
          </c:tx>
          <c:spPr>
            <a:solidFill>
              <a:srgbClr val="789262"/>
            </a:solidFill>
            <a:ln cmpd="sng">
              <a:noFill/>
            </a:ln>
          </c:spPr>
          <c:invertIfNegative val="0"/>
          <c:cat>
            <c:strRef>
              <c:f>'Category By Reviews'!$A$2:$A$13</c:f>
              <c:strCache>
                <c:ptCount val="12"/>
                <c:pt idx="0">
                  <c:v>Beauty Salon </c:v>
                </c:pt>
                <c:pt idx="1">
                  <c:v>Building Materials Store</c:v>
                </c:pt>
                <c:pt idx="2">
                  <c:v>Cake Shop</c:v>
                </c:pt>
                <c:pt idx="3">
                  <c:v>Clothing Store </c:v>
                </c:pt>
                <c:pt idx="4">
                  <c:v>Garage</c:v>
                </c:pt>
                <c:pt idx="5">
                  <c:v>General Store</c:v>
                </c:pt>
                <c:pt idx="6">
                  <c:v>Grocery Store</c:v>
                </c:pt>
                <c:pt idx="7">
                  <c:v>Home Goods Store</c:v>
                </c:pt>
                <c:pt idx="8">
                  <c:v>Pharmacy</c:v>
                </c:pt>
                <c:pt idx="9">
                  <c:v>Restaurant</c:v>
                </c:pt>
                <c:pt idx="10">
                  <c:v>Tailor</c:v>
                </c:pt>
                <c:pt idx="11">
                  <c:v>Wine Store</c:v>
                </c:pt>
              </c:strCache>
            </c:strRef>
          </c:cat>
          <c:val>
            <c:numRef>
              <c:f>'Category By Reviews'!$B$2:$B$13</c:f>
              <c:numCache>
                <c:formatCode>General</c:formatCode>
                <c:ptCount val="12"/>
                <c:pt idx="0">
                  <c:v>3667</c:v>
                </c:pt>
                <c:pt idx="1">
                  <c:v>80</c:v>
                </c:pt>
                <c:pt idx="2">
                  <c:v>19213</c:v>
                </c:pt>
                <c:pt idx="3">
                  <c:v>264</c:v>
                </c:pt>
                <c:pt idx="4">
                  <c:v>673</c:v>
                </c:pt>
                <c:pt idx="5">
                  <c:v>20203</c:v>
                </c:pt>
                <c:pt idx="6">
                  <c:v>1462</c:v>
                </c:pt>
                <c:pt idx="7">
                  <c:v>140</c:v>
                </c:pt>
                <c:pt idx="8">
                  <c:v>4108</c:v>
                </c:pt>
                <c:pt idx="9">
                  <c:v>64804</c:v>
                </c:pt>
                <c:pt idx="10">
                  <c:v>1355</c:v>
                </c:pt>
                <c:pt idx="11">
                  <c:v>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6-4DC5-8449-C421839B8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66739"/>
        <c:axId val="378448719"/>
      </c:barChart>
      <c:catAx>
        <c:axId val="9666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332A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6332A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5C665E"/>
                </a:solidFill>
                <a:latin typeface="+mn-lt"/>
              </a:defRPr>
            </a:pPr>
            <a:endParaRPr lang="en-US"/>
          </a:p>
        </c:txPr>
        <c:crossAx val="378448719"/>
        <c:crosses val="autoZero"/>
        <c:auto val="1"/>
        <c:lblAlgn val="ctr"/>
        <c:lblOffset val="100"/>
        <c:noMultiLvlLbl val="1"/>
      </c:catAx>
      <c:valAx>
        <c:axId val="378448719"/>
        <c:scaling>
          <c:orientation val="minMax"/>
        </c:scaling>
        <c:delete val="0"/>
        <c:axPos val="l"/>
        <c:majorGridlines>
          <c:spPr>
            <a:ln>
              <a:solidFill>
                <a:srgbClr val="D6CFC2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332A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6332A"/>
                    </a:solidFill>
                    <a:latin typeface="+mn-lt"/>
                  </a:rPr>
                  <a:t>SUM of Reviews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5C665E"/>
                </a:solidFill>
                <a:latin typeface="+mn-lt"/>
              </a:defRPr>
            </a:pPr>
            <a:endParaRPr lang="en-US"/>
          </a:p>
        </c:txPr>
        <c:crossAx val="96667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C665E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7F3EA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26332A"/>
                </a:solidFill>
                <a:latin typeface="+mn-lt"/>
              </a:defRPr>
            </a:pPr>
            <a:r>
              <a:rPr lang="en-IN" b="1">
                <a:solidFill>
                  <a:srgbClr val="26332A"/>
                </a:solidFill>
                <a:latin typeface="+mn-lt"/>
              </a:rPr>
              <a:t>Category Distribution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'Category Distribution by Countr'!$B$1:$B$2</c:f>
              <c:strCache>
                <c:ptCount val="2"/>
                <c:pt idx="0">
                  <c:v>Country</c:v>
                </c:pt>
                <c:pt idx="1">
                  <c:v>India</c:v>
                </c:pt>
              </c:strCache>
            </c:strRef>
          </c:tx>
          <c:spPr>
            <a:solidFill>
              <a:srgbClr val="789262"/>
            </a:solidFill>
            <a:ln cmpd="sng">
              <a:noFill/>
            </a:ln>
          </c:spPr>
          <c:invertIfNegative val="0"/>
          <c:cat>
            <c:strRef>
              <c:f>'Category Distribution by Countr'!$A$3:$A$14</c:f>
              <c:strCache>
                <c:ptCount val="12"/>
                <c:pt idx="0">
                  <c:v>Beauty Salon </c:v>
                </c:pt>
                <c:pt idx="1">
                  <c:v>Building Materials Store</c:v>
                </c:pt>
                <c:pt idx="2">
                  <c:v>Cake Shop</c:v>
                </c:pt>
                <c:pt idx="3">
                  <c:v>Clothing Store </c:v>
                </c:pt>
                <c:pt idx="4">
                  <c:v>Garage</c:v>
                </c:pt>
                <c:pt idx="5">
                  <c:v>General Store</c:v>
                </c:pt>
                <c:pt idx="6">
                  <c:v>Grocery Store</c:v>
                </c:pt>
                <c:pt idx="7">
                  <c:v>Home Goods Store</c:v>
                </c:pt>
                <c:pt idx="8">
                  <c:v>Pharmacy</c:v>
                </c:pt>
                <c:pt idx="9">
                  <c:v>Restaurant</c:v>
                </c:pt>
                <c:pt idx="10">
                  <c:v>Tailor</c:v>
                </c:pt>
                <c:pt idx="11">
                  <c:v>Wine Store</c:v>
                </c:pt>
              </c:strCache>
            </c:strRef>
          </c:cat>
          <c:val>
            <c:numRef>
              <c:f>'Category Distribution by Countr'!$B$3:$B$14</c:f>
              <c:numCache>
                <c:formatCode>General</c:formatCode>
                <c:ptCount val="12"/>
                <c:pt idx="0">
                  <c:v>19</c:v>
                </c:pt>
                <c:pt idx="2">
                  <c:v>39</c:v>
                </c:pt>
                <c:pt idx="5">
                  <c:v>39</c:v>
                </c:pt>
                <c:pt idx="8">
                  <c:v>87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3-406D-8E67-A72A7A2DDBDE}"/>
            </c:ext>
          </c:extLst>
        </c:ser>
        <c:ser>
          <c:idx val="1"/>
          <c:order val="1"/>
          <c:tx>
            <c:strRef>
              <c:f>'Category Distribution by Countr'!$C$1:$C$2</c:f>
              <c:strCache>
                <c:ptCount val="2"/>
                <c:pt idx="0">
                  <c:v>Country</c:v>
                </c:pt>
                <c:pt idx="1">
                  <c:v>USA</c:v>
                </c:pt>
              </c:strCache>
            </c:strRef>
          </c:tx>
          <c:spPr>
            <a:solidFill>
              <a:srgbClr val="8297A6"/>
            </a:solidFill>
            <a:ln cmpd="sng">
              <a:noFill/>
            </a:ln>
          </c:spPr>
          <c:invertIfNegative val="0"/>
          <c:cat>
            <c:strRef>
              <c:f>'Category Distribution by Countr'!$A$3:$A$14</c:f>
              <c:strCache>
                <c:ptCount val="12"/>
                <c:pt idx="0">
                  <c:v>Beauty Salon </c:v>
                </c:pt>
                <c:pt idx="1">
                  <c:v>Building Materials Store</c:v>
                </c:pt>
                <c:pt idx="2">
                  <c:v>Cake Shop</c:v>
                </c:pt>
                <c:pt idx="3">
                  <c:v>Clothing Store </c:v>
                </c:pt>
                <c:pt idx="4">
                  <c:v>Garage</c:v>
                </c:pt>
                <c:pt idx="5">
                  <c:v>General Store</c:v>
                </c:pt>
                <c:pt idx="6">
                  <c:v>Grocery Store</c:v>
                </c:pt>
                <c:pt idx="7">
                  <c:v>Home Goods Store</c:v>
                </c:pt>
                <c:pt idx="8">
                  <c:v>Pharmacy</c:v>
                </c:pt>
                <c:pt idx="9">
                  <c:v>Restaurant</c:v>
                </c:pt>
                <c:pt idx="10">
                  <c:v>Tailor</c:v>
                </c:pt>
                <c:pt idx="11">
                  <c:v>Wine Store</c:v>
                </c:pt>
              </c:strCache>
            </c:strRef>
          </c:cat>
          <c:val>
            <c:numRef>
              <c:f>'Category Distribution by Countr'!$C$3:$C$14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19</c:v>
                </c:pt>
                <c:pt idx="5">
                  <c:v>3</c:v>
                </c:pt>
                <c:pt idx="6">
                  <c:v>16</c:v>
                </c:pt>
                <c:pt idx="7">
                  <c:v>2</c:v>
                </c:pt>
                <c:pt idx="8">
                  <c:v>6</c:v>
                </c:pt>
                <c:pt idx="10">
                  <c:v>20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C3-406D-8E67-A72A7A2DD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7697246"/>
        <c:axId val="1585133951"/>
      </c:barChart>
      <c:catAx>
        <c:axId val="867697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332A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6332A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5C665E"/>
                </a:solidFill>
                <a:latin typeface="+mn-lt"/>
              </a:defRPr>
            </a:pPr>
            <a:endParaRPr lang="en-US"/>
          </a:p>
        </c:txPr>
        <c:crossAx val="1585133951"/>
        <c:crosses val="autoZero"/>
        <c:auto val="1"/>
        <c:lblAlgn val="ctr"/>
        <c:lblOffset val="100"/>
        <c:noMultiLvlLbl val="1"/>
      </c:catAx>
      <c:valAx>
        <c:axId val="1585133951"/>
        <c:scaling>
          <c:orientation val="minMax"/>
        </c:scaling>
        <c:delete val="0"/>
        <c:axPos val="l"/>
        <c:majorGridlines>
          <c:spPr>
            <a:ln>
              <a:solidFill>
                <a:srgbClr val="D6CFC2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332A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6332A"/>
                    </a:solidFill>
                    <a:latin typeface="+mn-lt"/>
                  </a:rPr>
                  <a:t>No Oof Companies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5C665E"/>
                </a:solidFill>
                <a:latin typeface="+mn-lt"/>
              </a:defRPr>
            </a:pPr>
            <a:endParaRPr lang="en-US"/>
          </a:p>
        </c:txPr>
        <c:crossAx val="8676972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C665E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7F3EA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26332A"/>
                </a:solidFill>
                <a:latin typeface="+mn-lt"/>
              </a:defRPr>
            </a:pPr>
            <a:r>
              <a:rPr lang="en-IN" b="1">
                <a:solidFill>
                  <a:srgbClr val="26332A"/>
                </a:solidFill>
                <a:latin typeface="+mn-lt"/>
              </a:rPr>
              <a:t> Company vs.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company by category'!$B$1</c:f>
              <c:strCache>
                <c:ptCount val="1"/>
                <c:pt idx="0">
                  <c:v>COUNTA of Company</c:v>
                </c:pt>
              </c:strCache>
            </c:strRef>
          </c:tx>
          <c:spPr>
            <a:solidFill>
              <a:srgbClr val="789262"/>
            </a:solidFill>
            <a:ln cmpd="sng">
              <a:noFill/>
            </a:ln>
          </c:spPr>
          <c:invertIfNegative val="0"/>
          <c:cat>
            <c:strRef>
              <c:f>'Count of company by category'!$A$2:$A$13</c:f>
              <c:strCache>
                <c:ptCount val="12"/>
                <c:pt idx="0">
                  <c:v>Beauty Salon </c:v>
                </c:pt>
                <c:pt idx="1">
                  <c:v>Building Materials Store</c:v>
                </c:pt>
                <c:pt idx="2">
                  <c:v>Cake Shop</c:v>
                </c:pt>
                <c:pt idx="3">
                  <c:v>Clothing Store </c:v>
                </c:pt>
                <c:pt idx="4">
                  <c:v>Garage</c:v>
                </c:pt>
                <c:pt idx="5">
                  <c:v>General Store</c:v>
                </c:pt>
                <c:pt idx="6">
                  <c:v>Grocery Store</c:v>
                </c:pt>
                <c:pt idx="7">
                  <c:v>Home Goods Store</c:v>
                </c:pt>
                <c:pt idx="8">
                  <c:v>Pharmacy</c:v>
                </c:pt>
                <c:pt idx="9">
                  <c:v>Restaurant</c:v>
                </c:pt>
                <c:pt idx="10">
                  <c:v>Tailor</c:v>
                </c:pt>
                <c:pt idx="11">
                  <c:v>Wine Store</c:v>
                </c:pt>
              </c:strCache>
            </c:strRef>
          </c:cat>
          <c:val>
            <c:numRef>
              <c:f>'Count of company by category'!$B$2:$B$13</c:f>
              <c:numCache>
                <c:formatCode>General</c:formatCode>
                <c:ptCount val="12"/>
                <c:pt idx="0">
                  <c:v>20</c:v>
                </c:pt>
                <c:pt idx="1">
                  <c:v>1</c:v>
                </c:pt>
                <c:pt idx="2">
                  <c:v>41</c:v>
                </c:pt>
                <c:pt idx="3">
                  <c:v>2</c:v>
                </c:pt>
                <c:pt idx="4">
                  <c:v>19</c:v>
                </c:pt>
                <c:pt idx="5">
                  <c:v>42</c:v>
                </c:pt>
                <c:pt idx="6">
                  <c:v>16</c:v>
                </c:pt>
                <c:pt idx="7">
                  <c:v>2</c:v>
                </c:pt>
                <c:pt idx="8">
                  <c:v>93</c:v>
                </c:pt>
                <c:pt idx="9">
                  <c:v>23</c:v>
                </c:pt>
                <c:pt idx="10">
                  <c:v>20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0-4A4A-9197-59E4AE4F7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971479"/>
        <c:axId val="2085853376"/>
      </c:barChart>
      <c:catAx>
        <c:axId val="422971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332A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6332A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5C665E"/>
                </a:solidFill>
                <a:latin typeface="+mn-lt"/>
              </a:defRPr>
            </a:pPr>
            <a:endParaRPr lang="en-US"/>
          </a:p>
        </c:txPr>
        <c:crossAx val="2085853376"/>
        <c:crosses val="autoZero"/>
        <c:auto val="1"/>
        <c:lblAlgn val="ctr"/>
        <c:lblOffset val="100"/>
        <c:noMultiLvlLbl val="1"/>
      </c:catAx>
      <c:valAx>
        <c:axId val="2085853376"/>
        <c:scaling>
          <c:orientation val="minMax"/>
        </c:scaling>
        <c:delete val="0"/>
        <c:axPos val="l"/>
        <c:majorGridlines>
          <c:spPr>
            <a:ln>
              <a:solidFill>
                <a:srgbClr val="D6CFC2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332A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26332A"/>
                    </a:solidFill>
                    <a:latin typeface="+mn-lt"/>
                  </a:rPr>
                  <a:t>COUNT of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5C665E"/>
                </a:solidFill>
                <a:latin typeface="+mn-lt"/>
              </a:defRPr>
            </a:pPr>
            <a:endParaRPr lang="en-US"/>
          </a:p>
        </c:txPr>
        <c:crossAx val="4229714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lt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7F3EA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CONTACT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'Contact Availability'!$B$1</c:f>
              <c:strCache>
                <c:ptCount val="1"/>
                <c:pt idx="0">
                  <c:v>COUNTA of CONTACT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240-4224-9152-D750B48C85B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240-4224-9152-D750B48C85BD}"/>
              </c:ext>
            </c:extLst>
          </c:dPt>
          <c:cat>
            <c:strRef>
              <c:f>'Contact Availability'!$A$2:$A$3</c:f>
              <c:strCache>
                <c:ptCount val="2"/>
                <c:pt idx="0">
                  <c:v>India</c:v>
                </c:pt>
                <c:pt idx="1">
                  <c:v>USA</c:v>
                </c:pt>
              </c:strCache>
            </c:strRef>
          </c:cat>
          <c:val>
            <c:numRef>
              <c:f>'Contact Availability'!$B$2:$B$3</c:f>
              <c:numCache>
                <c:formatCode>General</c:formatCode>
                <c:ptCount val="2"/>
                <c:pt idx="0">
                  <c:v>207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40-4224-9152-D750B48C8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Company vs.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company by category'!$B$1</c:f>
              <c:strCache>
                <c:ptCount val="1"/>
                <c:pt idx="0">
                  <c:v>COUNTA of Company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'Count of company by category'!$A$2:$A$13</c:f>
              <c:strCache>
                <c:ptCount val="12"/>
                <c:pt idx="0">
                  <c:v>Beauty Salon </c:v>
                </c:pt>
                <c:pt idx="1">
                  <c:v>Building Materials Store</c:v>
                </c:pt>
                <c:pt idx="2">
                  <c:v>Cake Shop</c:v>
                </c:pt>
                <c:pt idx="3">
                  <c:v>Clothing Store </c:v>
                </c:pt>
                <c:pt idx="4">
                  <c:v>Garage</c:v>
                </c:pt>
                <c:pt idx="5">
                  <c:v>General Store</c:v>
                </c:pt>
                <c:pt idx="6">
                  <c:v>Grocery Store</c:v>
                </c:pt>
                <c:pt idx="7">
                  <c:v>Home Goods Store</c:v>
                </c:pt>
                <c:pt idx="8">
                  <c:v>Pharmacy</c:v>
                </c:pt>
                <c:pt idx="9">
                  <c:v>Restaurant</c:v>
                </c:pt>
                <c:pt idx="10">
                  <c:v>Tailor</c:v>
                </c:pt>
                <c:pt idx="11">
                  <c:v>Wine Store</c:v>
                </c:pt>
              </c:strCache>
            </c:strRef>
          </c:cat>
          <c:val>
            <c:numRef>
              <c:f>'Count of company by category'!$B$2:$B$13</c:f>
              <c:numCache>
                <c:formatCode>General</c:formatCode>
                <c:ptCount val="12"/>
                <c:pt idx="0">
                  <c:v>20</c:v>
                </c:pt>
                <c:pt idx="1">
                  <c:v>1</c:v>
                </c:pt>
                <c:pt idx="2">
                  <c:v>41</c:v>
                </c:pt>
                <c:pt idx="3">
                  <c:v>2</c:v>
                </c:pt>
                <c:pt idx="4">
                  <c:v>19</c:v>
                </c:pt>
                <c:pt idx="5">
                  <c:v>42</c:v>
                </c:pt>
                <c:pt idx="6">
                  <c:v>16</c:v>
                </c:pt>
                <c:pt idx="7">
                  <c:v>2</c:v>
                </c:pt>
                <c:pt idx="8">
                  <c:v>93</c:v>
                </c:pt>
                <c:pt idx="9">
                  <c:v>23</c:v>
                </c:pt>
                <c:pt idx="10">
                  <c:v>20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F-4C4F-90B2-2A0625F12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450590"/>
        <c:axId val="993389003"/>
      </c:barChart>
      <c:catAx>
        <c:axId val="108450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3389003"/>
        <c:crosses val="autoZero"/>
        <c:auto val="1"/>
        <c:lblAlgn val="ctr"/>
        <c:lblOffset val="100"/>
        <c:noMultiLvlLbl val="1"/>
      </c:catAx>
      <c:valAx>
        <c:axId val="993389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4505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Category vs. City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'Business by city'!$B$1</c:f>
              <c:strCache>
                <c:ptCount val="1"/>
                <c:pt idx="0">
                  <c:v>COUNTA of Category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'Business by city'!$A$2:$A$4</c:f>
              <c:strCache>
                <c:ptCount val="3"/>
                <c:pt idx="0">
                  <c:v>Lucknow</c:v>
                </c:pt>
                <c:pt idx="1">
                  <c:v>New York</c:v>
                </c:pt>
                <c:pt idx="2">
                  <c:v>Patna</c:v>
                </c:pt>
              </c:strCache>
            </c:strRef>
          </c:cat>
          <c:val>
            <c:numRef>
              <c:f>'Business by city'!$B$2:$B$4</c:f>
              <c:numCache>
                <c:formatCode>General</c:formatCode>
                <c:ptCount val="3"/>
                <c:pt idx="0">
                  <c:v>159</c:v>
                </c:pt>
                <c:pt idx="1">
                  <c:v>90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3-443C-BFFE-D43EA4A4F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2372532"/>
        <c:axId val="1866269898"/>
      </c:barChart>
      <c:catAx>
        <c:axId val="19523725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6269898"/>
        <c:crosses val="autoZero"/>
        <c:auto val="1"/>
        <c:lblAlgn val="ctr"/>
        <c:lblOffset val="100"/>
        <c:noMultiLvlLbl val="1"/>
      </c:catAx>
      <c:valAx>
        <c:axId val="18662698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237253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Reviews vs.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By Reviews'!$B$1</c:f>
              <c:strCache>
                <c:ptCount val="1"/>
                <c:pt idx="0">
                  <c:v>SUM of Reviews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'Category By Reviews'!$A$2:$A$13</c:f>
              <c:strCache>
                <c:ptCount val="12"/>
                <c:pt idx="0">
                  <c:v>Beauty Salon </c:v>
                </c:pt>
                <c:pt idx="1">
                  <c:v>Building Materials Store</c:v>
                </c:pt>
                <c:pt idx="2">
                  <c:v>Cake Shop</c:v>
                </c:pt>
                <c:pt idx="3">
                  <c:v>Clothing Store </c:v>
                </c:pt>
                <c:pt idx="4">
                  <c:v>Garage</c:v>
                </c:pt>
                <c:pt idx="5">
                  <c:v>General Store</c:v>
                </c:pt>
                <c:pt idx="6">
                  <c:v>Grocery Store</c:v>
                </c:pt>
                <c:pt idx="7">
                  <c:v>Home Goods Store</c:v>
                </c:pt>
                <c:pt idx="8">
                  <c:v>Pharmacy</c:v>
                </c:pt>
                <c:pt idx="9">
                  <c:v>Restaurant</c:v>
                </c:pt>
                <c:pt idx="10">
                  <c:v>Tailor</c:v>
                </c:pt>
                <c:pt idx="11">
                  <c:v>Wine Store</c:v>
                </c:pt>
              </c:strCache>
            </c:strRef>
          </c:cat>
          <c:val>
            <c:numRef>
              <c:f>'Category By Reviews'!$B$2:$B$13</c:f>
              <c:numCache>
                <c:formatCode>General</c:formatCode>
                <c:ptCount val="12"/>
                <c:pt idx="0">
                  <c:v>3667</c:v>
                </c:pt>
                <c:pt idx="1">
                  <c:v>80</c:v>
                </c:pt>
                <c:pt idx="2">
                  <c:v>19213</c:v>
                </c:pt>
                <c:pt idx="3">
                  <c:v>264</c:v>
                </c:pt>
                <c:pt idx="4">
                  <c:v>673</c:v>
                </c:pt>
                <c:pt idx="5">
                  <c:v>20203</c:v>
                </c:pt>
                <c:pt idx="6">
                  <c:v>1462</c:v>
                </c:pt>
                <c:pt idx="7">
                  <c:v>140</c:v>
                </c:pt>
                <c:pt idx="8">
                  <c:v>4108</c:v>
                </c:pt>
                <c:pt idx="9">
                  <c:v>64804</c:v>
                </c:pt>
                <c:pt idx="10">
                  <c:v>1355</c:v>
                </c:pt>
                <c:pt idx="11">
                  <c:v>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F-41E3-AEE4-5794ECA83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820821"/>
        <c:axId val="1889445574"/>
      </c:barChart>
      <c:catAx>
        <c:axId val="219820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9445574"/>
        <c:crosses val="autoZero"/>
        <c:auto val="1"/>
        <c:lblAlgn val="ctr"/>
        <c:lblOffset val="100"/>
        <c:noMultiLvlLbl val="1"/>
      </c:catAx>
      <c:valAx>
        <c:axId val="1889445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98208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Ratings vs.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rating by Category'!$B$1</c:f>
              <c:strCache>
                <c:ptCount val="1"/>
                <c:pt idx="0">
                  <c:v>AVERAGE of Ratings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'AVG rating by Category'!$A$2:$A$13</c:f>
              <c:strCache>
                <c:ptCount val="12"/>
                <c:pt idx="0">
                  <c:v>Beauty Salon </c:v>
                </c:pt>
                <c:pt idx="1">
                  <c:v>Building Materials Store</c:v>
                </c:pt>
                <c:pt idx="2">
                  <c:v>Cake Shop</c:v>
                </c:pt>
                <c:pt idx="3">
                  <c:v>Clothing Store </c:v>
                </c:pt>
                <c:pt idx="4">
                  <c:v>Garage</c:v>
                </c:pt>
                <c:pt idx="5">
                  <c:v>General Store</c:v>
                </c:pt>
                <c:pt idx="6">
                  <c:v>Grocery Store</c:v>
                </c:pt>
                <c:pt idx="7">
                  <c:v>Home Goods Store</c:v>
                </c:pt>
                <c:pt idx="8">
                  <c:v>Pharmacy</c:v>
                </c:pt>
                <c:pt idx="9">
                  <c:v>Restaurant</c:v>
                </c:pt>
                <c:pt idx="10">
                  <c:v>Tailor</c:v>
                </c:pt>
                <c:pt idx="11">
                  <c:v>Wine Store</c:v>
                </c:pt>
              </c:strCache>
            </c:strRef>
          </c:cat>
          <c:val>
            <c:numRef>
              <c:f>'AVG rating by Category'!$B$2:$B$13</c:f>
              <c:numCache>
                <c:formatCode>General</c:formatCode>
                <c:ptCount val="12"/>
                <c:pt idx="0">
                  <c:v>4.79</c:v>
                </c:pt>
                <c:pt idx="1">
                  <c:v>4.7</c:v>
                </c:pt>
                <c:pt idx="2">
                  <c:v>4.2731707317073164</c:v>
                </c:pt>
                <c:pt idx="3">
                  <c:v>1.75</c:v>
                </c:pt>
                <c:pt idx="4">
                  <c:v>3.4684210526315784</c:v>
                </c:pt>
                <c:pt idx="5">
                  <c:v>4.4500000000000011</c:v>
                </c:pt>
                <c:pt idx="6">
                  <c:v>4.3562500000000002</c:v>
                </c:pt>
                <c:pt idx="7">
                  <c:v>4.5999999999999996</c:v>
                </c:pt>
                <c:pt idx="8">
                  <c:v>4.274193548387097</c:v>
                </c:pt>
                <c:pt idx="9">
                  <c:v>4.321739130434783</c:v>
                </c:pt>
                <c:pt idx="10">
                  <c:v>4.4250000000000016</c:v>
                </c:pt>
                <c:pt idx="11">
                  <c:v>4.1444444444444457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6-48CC-9312-4B1F3BD5F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576731"/>
        <c:axId val="1328926294"/>
      </c:barChart>
      <c:catAx>
        <c:axId val="641576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8926294"/>
        <c:crosses val="autoZero"/>
        <c:auto val="1"/>
        <c:lblAlgn val="ctr"/>
        <c:lblOffset val="100"/>
        <c:noMultiLvlLbl val="1"/>
      </c:catAx>
      <c:valAx>
        <c:axId val="1328926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Ratings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15767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India and USA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'Category Distribution by Countr'!$B$1:$B$2</c:f>
              <c:strCache>
                <c:ptCount val="2"/>
                <c:pt idx="0">
                  <c:v>Country</c:v>
                </c:pt>
                <c:pt idx="1">
                  <c:v>India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'Category Distribution by Countr'!$A$3:$A$14</c:f>
              <c:strCache>
                <c:ptCount val="12"/>
                <c:pt idx="0">
                  <c:v>Beauty Salon </c:v>
                </c:pt>
                <c:pt idx="1">
                  <c:v>Building Materials Store</c:v>
                </c:pt>
                <c:pt idx="2">
                  <c:v>Cake Shop</c:v>
                </c:pt>
                <c:pt idx="3">
                  <c:v>Clothing Store </c:v>
                </c:pt>
                <c:pt idx="4">
                  <c:v>Garage</c:v>
                </c:pt>
                <c:pt idx="5">
                  <c:v>General Store</c:v>
                </c:pt>
                <c:pt idx="6">
                  <c:v>Grocery Store</c:v>
                </c:pt>
                <c:pt idx="7">
                  <c:v>Home Goods Store</c:v>
                </c:pt>
                <c:pt idx="8">
                  <c:v>Pharmacy</c:v>
                </c:pt>
                <c:pt idx="9">
                  <c:v>Restaurant</c:v>
                </c:pt>
                <c:pt idx="10">
                  <c:v>Tailor</c:v>
                </c:pt>
                <c:pt idx="11">
                  <c:v>Wine Store</c:v>
                </c:pt>
              </c:strCache>
            </c:strRef>
          </c:cat>
          <c:val>
            <c:numRef>
              <c:f>'Category Distribution by Countr'!$B$3:$B$14</c:f>
              <c:numCache>
                <c:formatCode>General</c:formatCode>
                <c:ptCount val="12"/>
                <c:pt idx="0">
                  <c:v>19</c:v>
                </c:pt>
                <c:pt idx="2">
                  <c:v>39</c:v>
                </c:pt>
                <c:pt idx="5">
                  <c:v>39</c:v>
                </c:pt>
                <c:pt idx="8">
                  <c:v>87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F-4D1B-95BC-3AF662BD88F1}"/>
            </c:ext>
          </c:extLst>
        </c:ser>
        <c:ser>
          <c:idx val="1"/>
          <c:order val="1"/>
          <c:tx>
            <c:strRef>
              <c:f>'Category Distribution by Countr'!$C$1:$C$2</c:f>
              <c:strCache>
                <c:ptCount val="2"/>
                <c:pt idx="0">
                  <c:v>Country</c:v>
                </c:pt>
                <c:pt idx="1">
                  <c:v>USA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'Category Distribution by Countr'!$A$3:$A$14</c:f>
              <c:strCache>
                <c:ptCount val="12"/>
                <c:pt idx="0">
                  <c:v>Beauty Salon </c:v>
                </c:pt>
                <c:pt idx="1">
                  <c:v>Building Materials Store</c:v>
                </c:pt>
                <c:pt idx="2">
                  <c:v>Cake Shop</c:v>
                </c:pt>
                <c:pt idx="3">
                  <c:v>Clothing Store </c:v>
                </c:pt>
                <c:pt idx="4">
                  <c:v>Garage</c:v>
                </c:pt>
                <c:pt idx="5">
                  <c:v>General Store</c:v>
                </c:pt>
                <c:pt idx="6">
                  <c:v>Grocery Store</c:v>
                </c:pt>
                <c:pt idx="7">
                  <c:v>Home Goods Store</c:v>
                </c:pt>
                <c:pt idx="8">
                  <c:v>Pharmacy</c:v>
                </c:pt>
                <c:pt idx="9">
                  <c:v>Restaurant</c:v>
                </c:pt>
                <c:pt idx="10">
                  <c:v>Tailor</c:v>
                </c:pt>
                <c:pt idx="11">
                  <c:v>Wine Store</c:v>
                </c:pt>
              </c:strCache>
            </c:strRef>
          </c:cat>
          <c:val>
            <c:numRef>
              <c:f>'Category Distribution by Countr'!$C$3:$C$14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19</c:v>
                </c:pt>
                <c:pt idx="5">
                  <c:v>3</c:v>
                </c:pt>
                <c:pt idx="6">
                  <c:v>16</c:v>
                </c:pt>
                <c:pt idx="7">
                  <c:v>2</c:v>
                </c:pt>
                <c:pt idx="8">
                  <c:v>6</c:v>
                </c:pt>
                <c:pt idx="10">
                  <c:v>20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F-4D1B-95BC-3AF662BD8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3409385"/>
        <c:axId val="1020001402"/>
      </c:barChart>
      <c:catAx>
        <c:axId val="493409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0001402"/>
        <c:crosses val="autoZero"/>
        <c:auto val="1"/>
        <c:lblAlgn val="ctr"/>
        <c:lblOffset val="100"/>
        <c:noMultiLvlLbl val="1"/>
      </c:catAx>
      <c:valAx>
        <c:axId val="1020001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34093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6</xdr:row>
      <xdr:rowOff>190500</xdr:rowOff>
    </xdr:from>
    <xdr:ext cx="3924300" cy="24669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599515</xdr:colOff>
      <xdr:row>7</xdr:row>
      <xdr:rowOff>0</xdr:rowOff>
    </xdr:from>
    <xdr:ext cx="4305300" cy="24669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677957</xdr:colOff>
      <xdr:row>6</xdr:row>
      <xdr:rowOff>179294</xdr:rowOff>
    </xdr:from>
    <xdr:ext cx="4305300" cy="24669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95250</xdr:colOff>
      <xdr:row>19</xdr:row>
      <xdr:rowOff>180975</xdr:rowOff>
    </xdr:from>
    <xdr:ext cx="3924300" cy="29337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677956</xdr:colOff>
      <xdr:row>20</xdr:row>
      <xdr:rowOff>1680</xdr:rowOff>
    </xdr:from>
    <xdr:ext cx="4305300" cy="293370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9</xdr:col>
      <xdr:colOff>745192</xdr:colOff>
      <xdr:row>20</xdr:row>
      <xdr:rowOff>1681</xdr:rowOff>
    </xdr:from>
    <xdr:ext cx="4352925" cy="293370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</xdr:col>
      <xdr:colOff>381000</xdr:colOff>
      <xdr:row>0</xdr:row>
      <xdr:rowOff>0</xdr:rowOff>
    </xdr:from>
    <xdr:ext cx="6734175" cy="44767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30850" y="60375"/>
          <a:ext cx="6858000" cy="43290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 i="1">
              <a:solidFill>
                <a:srgbClr val="F7F3EA"/>
              </a:solidFill>
            </a:rPr>
            <a:t>BUSINESS ANALYSIS DASHBOARD</a:t>
          </a:r>
          <a:endParaRPr sz="2400" b="1" i="1">
            <a:solidFill>
              <a:srgbClr val="F7F3EA"/>
            </a:solidFill>
          </a:endParaRPr>
        </a:p>
      </xdr:txBody>
    </xdr:sp>
    <xdr:clientData fLocksWithSheet="0"/>
  </xdr:oneCellAnchor>
  <xdr:oneCellAnchor>
    <xdr:from>
      <xdr:col>1</xdr:col>
      <xdr:colOff>647700</xdr:colOff>
      <xdr:row>2</xdr:row>
      <xdr:rowOff>123825</xdr:rowOff>
    </xdr:from>
    <xdr:ext cx="7934325" cy="866775"/>
    <xdr:grpSp>
      <xdr:nvGrpSpPr>
        <xdr:cNvPr id="9" name="Shape 2" title="Draw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1521759" y="460001"/>
          <a:ext cx="7934325" cy="866775"/>
          <a:chOff x="-10075" y="80525"/>
          <a:chExt cx="6049500" cy="744900"/>
        </a:xfrm>
      </xdr:grpSpPr>
      <xdr:sp macro="" textlink="">
        <xdr:nvSpPr>
          <xdr:cNvPr id="10" name="Shape 4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-10075" y="80525"/>
            <a:ext cx="1177800" cy="744900"/>
          </a:xfrm>
          <a:prstGeom prst="roundRect">
            <a:avLst>
              <a:gd name="adj" fmla="val 16667"/>
            </a:avLst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solidFill>
                  <a:srgbClr val="A8B89A"/>
                </a:solidFill>
              </a:rPr>
              <a:t>TOTAL COMPANIES</a:t>
            </a:r>
            <a:endParaRPr sz="1200">
              <a:solidFill>
                <a:srgbClr val="A8B89A"/>
              </a:solidFill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7F3EA"/>
                </a:solidFill>
              </a:rPr>
              <a:t>297</a:t>
            </a:r>
            <a:endParaRPr sz="1400">
              <a:solidFill>
                <a:srgbClr val="F7F3EA"/>
              </a:solidFill>
            </a:endParaRPr>
          </a:p>
        </xdr:txBody>
      </xdr:sp>
      <xdr:sp macro="" textlink="">
        <xdr:nvSpPr>
          <xdr:cNvPr id="11" name="Shape 5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2425775" y="80525"/>
            <a:ext cx="1177800" cy="744900"/>
          </a:xfrm>
          <a:prstGeom prst="roundRect">
            <a:avLst>
              <a:gd name="adj" fmla="val 16667"/>
            </a:avLst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solidFill>
                  <a:srgbClr val="A8B89A"/>
                </a:solidFill>
              </a:rPr>
              <a:t>USA LEADS</a:t>
            </a:r>
            <a:endParaRPr sz="1200">
              <a:solidFill>
                <a:srgbClr val="A8B89A"/>
              </a:solidFill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7F3EA"/>
                </a:solidFill>
              </a:rPr>
              <a:t>90</a:t>
            </a:r>
            <a:endParaRPr sz="1400">
              <a:solidFill>
                <a:srgbClr val="F7F3EA"/>
              </a:solidFill>
            </a:endParaRPr>
          </a:p>
        </xdr:txBody>
      </xdr:sp>
      <xdr:sp macro="" textlink="">
        <xdr:nvSpPr>
          <xdr:cNvPr id="12" name="Shape 6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1122950" y="80525"/>
            <a:ext cx="1177800" cy="744900"/>
          </a:xfrm>
          <a:prstGeom prst="roundRect">
            <a:avLst>
              <a:gd name="adj" fmla="val 16667"/>
            </a:avLst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solidFill>
                  <a:srgbClr val="A8B89A"/>
                </a:solidFill>
              </a:rPr>
              <a:t>INDIAN LEADS</a:t>
            </a:r>
            <a:endParaRPr sz="1200">
              <a:solidFill>
                <a:srgbClr val="A8B89A"/>
              </a:solidFill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7F3EA"/>
                </a:solidFill>
              </a:rPr>
              <a:t>207</a:t>
            </a:r>
            <a:endParaRPr sz="1400">
              <a:solidFill>
                <a:srgbClr val="F7F3EA"/>
              </a:solidFill>
            </a:endParaRPr>
          </a:p>
        </xdr:txBody>
      </xdr:sp>
      <xdr:sp macro="" textlink="">
        <xdr:nvSpPr>
          <xdr:cNvPr id="13" name="Shape 7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4861625" y="80525"/>
            <a:ext cx="1177800" cy="744900"/>
          </a:xfrm>
          <a:prstGeom prst="roundRect">
            <a:avLst>
              <a:gd name="adj" fmla="val 16667"/>
            </a:avLst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solidFill>
                  <a:srgbClr val="A8B89A"/>
                </a:solidFill>
              </a:rPr>
              <a:t>TOP CATEGORY</a:t>
            </a:r>
            <a:endParaRPr sz="1200">
              <a:solidFill>
                <a:srgbClr val="A8B89A"/>
              </a:solidFill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solidFill>
                  <a:srgbClr val="F7F3EA"/>
                </a:solidFill>
              </a:rPr>
              <a:t>RESTAURANT</a:t>
            </a:r>
            <a:endParaRPr sz="1000">
              <a:solidFill>
                <a:srgbClr val="F7F3EA"/>
              </a:solidFill>
            </a:endParaRPr>
          </a:p>
        </xdr:txBody>
      </xdr:sp>
      <xdr:sp macro="" textlink="">
        <xdr:nvSpPr>
          <xdr:cNvPr id="14" name="Shape 8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3728600" y="80525"/>
            <a:ext cx="1177800" cy="744900"/>
          </a:xfrm>
          <a:prstGeom prst="roundRect">
            <a:avLst>
              <a:gd name="adj" fmla="val 16667"/>
            </a:avLst>
          </a:prstGeom>
          <a:noFill/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solidFill>
                  <a:srgbClr val="A8B89A"/>
                </a:solidFill>
              </a:rPr>
              <a:t>AVERAGE RATING</a:t>
            </a:r>
            <a:endParaRPr sz="1200">
              <a:solidFill>
                <a:srgbClr val="A8B89A"/>
              </a:solidFill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rgbClr val="F7F3EA"/>
                </a:solidFill>
              </a:rPr>
              <a:t>4.28</a:t>
            </a:r>
            <a:endParaRPr sz="1400">
              <a:solidFill>
                <a:srgbClr val="F7F3EA"/>
              </a:solidFill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180975</xdr:rowOff>
    </xdr:from>
    <xdr:ext cx="5715000" cy="35337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200025</xdr:colOff>
      <xdr:row>0</xdr:row>
      <xdr:rowOff>85725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0</xdr:row>
      <xdr:rowOff>200025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638175</xdr:colOff>
      <xdr:row>0</xdr:row>
      <xdr:rowOff>47625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85725</xdr:rowOff>
    </xdr:from>
    <xdr:ext cx="5715000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0</xdr:row>
      <xdr:rowOff>0</xdr:rowOff>
    </xdr:from>
    <xdr:ext cx="5715000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utam Rawat" id="{8707ABB5-9A91-4D40-B211-B31064A6C309}" userId="" providerId="google-sheets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rshiya Gugliani" refreshedDate="46299.01430949074" refreshedVersion="8" recordCount="297" xr:uid="{00000000-000A-0000-FFFF-FFFF00000000}">
  <cacheSource type="worksheet">
    <worksheetSource ref="A1:M298" sheet="Master"/>
  </cacheSource>
  <cacheFields count="13">
    <cacheField name="S.No" numFmtId="0">
      <sharedItems containsSemiMixedTypes="0" containsString="0" containsNumber="1" containsInteger="1" minValue="1" maxValue="297"/>
    </cacheField>
    <cacheField name="Country" numFmtId="0">
      <sharedItems count="2">
        <s v="India"/>
        <s v="USA"/>
      </sharedItems>
    </cacheField>
    <cacheField name="City" numFmtId="0">
      <sharedItems count="3">
        <s v="Lucknow"/>
        <s v="New York"/>
        <s v="Patna"/>
      </sharedItems>
    </cacheField>
    <cacheField name="Company" numFmtId="0">
      <sharedItems/>
    </cacheField>
    <cacheField name="LINKEDIN LINK" numFmtId="0">
      <sharedItems/>
    </cacheField>
    <cacheField name="Website" numFmtId="0">
      <sharedItems/>
    </cacheField>
    <cacheField name="Tech Need / Problem" numFmtId="0">
      <sharedItems/>
    </cacheField>
    <cacheField name="EMAIL" numFmtId="0">
      <sharedItems/>
    </cacheField>
    <cacheField name="CONTACT" numFmtId="0">
      <sharedItems containsSemiMixedTypes="0" containsString="0" containsNumber="1" containsInteger="1" minValue="5222304184" maxValue="19293127422"/>
    </cacheField>
    <cacheField name="Google Map" numFmtId="0">
      <sharedItems/>
    </cacheField>
    <cacheField name="Category" numFmtId="0">
      <sharedItems count="12">
        <s v="Beauty Salon "/>
        <s v="Grocery Store"/>
        <s v="General Store"/>
        <s v="Pharmacy"/>
        <s v="Garage"/>
        <s v="Cake Shop"/>
        <s v="Tailor"/>
        <s v="Home Goods Store"/>
        <s v="Wine Store"/>
        <s v="Restaurant"/>
        <s v="Clothing Store "/>
        <s v="Building Materials Store"/>
      </sharedItems>
    </cacheField>
    <cacheField name="Ratings" numFmtId="0">
      <sharedItems containsSemiMixedTypes="0" containsString="0" containsNumber="1" minValue="0" maxValue="5"/>
    </cacheField>
    <cacheField name="Reviews" numFmtId="0">
      <sharedItems containsSemiMixedTypes="0" containsString="0" containsNumber="1" containsInteger="1" minValue="0" maxValue="162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n v="1"/>
    <x v="0"/>
    <x v="0"/>
    <s v="Ladies First Beauty Salon"/>
    <s v="N/A"/>
    <s v="N/A"/>
    <s v="N/A"/>
    <s v="N/A"/>
    <n v="7499858640"/>
    <s v="https://maps.app.goo.gl/zQKMiLRnw9RziQSh6"/>
    <x v="0"/>
    <n v="4.5"/>
    <n v="399"/>
  </r>
  <r>
    <n v="2"/>
    <x v="0"/>
    <x v="0"/>
    <s v="Priya Beauty Salon"/>
    <s v="N/A"/>
    <s v="N/A"/>
    <s v="N/A"/>
    <s v="N/A"/>
    <n v="8881200100"/>
    <s v="https://maps.app.goo.gl/jm5JRZPhwYTUJqSR9"/>
    <x v="0"/>
    <n v="4.8"/>
    <n v="55"/>
  </r>
  <r>
    <n v="3"/>
    <x v="0"/>
    <x v="0"/>
    <s v="Looks"/>
    <s v="N/A"/>
    <s v="N/A"/>
    <s v="N/A"/>
    <s v="N/A"/>
    <n v="9919990738"/>
    <s v="https://maps.app.goo.gl/3B8ZhGzqW2v8Pb5R7"/>
    <x v="0"/>
    <n v="4.8"/>
    <n v="329"/>
  </r>
  <r>
    <n v="4"/>
    <x v="0"/>
    <x v="0"/>
    <s v="Glow N Glam_x000a_"/>
    <s v="N/A"/>
    <s v="N/A"/>
    <s v="N/A"/>
    <s v="N/A"/>
    <n v="9919736852"/>
    <s v="https://maps.app.goo.gl/aQTVy4qYCbXqdmMK6"/>
    <x v="0"/>
    <n v="4.5999999999999996"/>
    <n v="221"/>
  </r>
  <r>
    <n v="5"/>
    <x v="1"/>
    <x v="1"/>
    <s v="NY-2 Food Market"/>
    <s v="N/A"/>
    <s v="N/A"/>
    <s v="N/A"/>
    <s v="N/A"/>
    <n v="12125822075"/>
    <s v="https://maps.app.goo.gl/QNWKnhprAJ5gZAmUA"/>
    <x v="1"/>
    <n v="4.3"/>
    <n v="55"/>
  </r>
  <r>
    <n v="6"/>
    <x v="1"/>
    <x v="1"/>
    <s v="Noho Food Market"/>
    <s v="N/A"/>
    <s v="N/A"/>
    <s v="N/A"/>
    <s v="N/A"/>
    <n v="16464764047"/>
    <s v="https://maps.app.goo.gl/34fGKMS5i3FvqevD6"/>
    <x v="1"/>
    <n v="4.2"/>
    <n v="57"/>
  </r>
  <r>
    <n v="7"/>
    <x v="1"/>
    <x v="1"/>
    <s v="Parkview Convenience"/>
    <s v="N/A"/>
    <s v="N/A"/>
    <s v="N/A"/>
    <s v="N/A"/>
    <n v="16466923022"/>
    <s v="https://maps.app.goo.gl/BGEzEjtYC9VTef3w5"/>
    <x v="1"/>
    <n v="5"/>
    <n v="3"/>
  </r>
  <r>
    <n v="8"/>
    <x v="1"/>
    <x v="1"/>
    <s v="NYC convenience (maiden lane)"/>
    <s v="N/A"/>
    <s v="N/A"/>
    <s v="N/A"/>
    <s v="N/A"/>
    <n v="15186753636"/>
    <s v="https://maps.app.goo.gl/szZhHoHRyeno9ibX7"/>
    <x v="1"/>
    <n v="4.5"/>
    <n v="12"/>
  </r>
  <r>
    <n v="9"/>
    <x v="1"/>
    <x v="1"/>
    <s v="Sonny's Grocery store"/>
    <s v="N/A"/>
    <s v="N/A"/>
    <s v="N/A"/>
    <s v="N/A"/>
    <n v="12125417747"/>
    <s v="https://maps.app.goo.gl/4H16AYmruc587pTS9"/>
    <x v="1"/>
    <n v="4.5"/>
    <n v="15"/>
  </r>
  <r>
    <n v="10"/>
    <x v="1"/>
    <x v="1"/>
    <s v="Chelsea convenience &amp; more"/>
    <s v="N/A"/>
    <s v="N/A"/>
    <s v="N/A"/>
    <s v="N/A"/>
    <n v="19293127422"/>
    <s v="https://maps.app.goo.gl/Gjkkb4igdtAQd3JH9"/>
    <x v="1"/>
    <n v="3.5"/>
    <n v="8"/>
  </r>
  <r>
    <n v="11"/>
    <x v="1"/>
    <x v="1"/>
    <s v="59 Bayard Market"/>
    <s v="N/A"/>
    <s v="N/A"/>
    <s v="N/A"/>
    <s v="N/A"/>
    <n v="12126088866"/>
    <s v="https://maps.app.goo.gl/pMxgUUTUUSEtVPFB8"/>
    <x v="1"/>
    <n v="4.5999999999999996"/>
    <n v="17"/>
  </r>
  <r>
    <n v="12"/>
    <x v="1"/>
    <x v="1"/>
    <s v="Ez Minimart"/>
    <s v="N/A"/>
    <s v="N/A"/>
    <s v="N/A"/>
    <s v="N/A"/>
    <n v="12124757962"/>
    <s v="https://maps.app.goo.gl/Lxyosg9qh5Uzt96W8"/>
    <x v="1"/>
    <n v="4"/>
    <n v="14"/>
  </r>
  <r>
    <n v="13"/>
    <x v="1"/>
    <x v="1"/>
    <s v="2nd Ave. Grocery &amp; Smoke Shop"/>
    <s v="N/A"/>
    <s v="N/A"/>
    <s v="N/A"/>
    <s v="N/A"/>
    <n v="12124470131"/>
    <s v="https://maps.app.goo.gl/TR15mrcLyrQAqcLN6"/>
    <x v="1"/>
    <n v="5"/>
    <n v="6"/>
  </r>
  <r>
    <n v="14"/>
    <x v="1"/>
    <x v="1"/>
    <s v="Boongs Grab and Go"/>
    <s v="N/A"/>
    <s v="N/A"/>
    <s v="N/A"/>
    <s v="N/A"/>
    <n v="16469830367"/>
    <s v="https://maps.app.goo.gl/Be8qfRo1rLCJyD2X8"/>
    <x v="1"/>
    <n v="4.0999999999999996"/>
    <n v="25"/>
  </r>
  <r>
    <n v="15"/>
    <x v="1"/>
    <x v="1"/>
    <s v="Soho Garden"/>
    <s v="N/A"/>
    <s v="N/A"/>
    <s v="N/A"/>
    <s v="N/A"/>
    <n v="12129415973"/>
    <s v="https://maps.app.goo.gl/CC1a4SD9SUgxzgDW7"/>
    <x v="1"/>
    <n v="4.2"/>
    <n v="63"/>
  </r>
  <r>
    <n v="16"/>
    <x v="1"/>
    <x v="1"/>
    <s v="Mitsuki Japanese Market"/>
    <s v="N/A"/>
    <s v="N/A"/>
    <s v="N/A"/>
    <s v="N/A"/>
    <n v="16468613801"/>
    <s v="https://maps.app.goo.gl/dZDq1dyg4zxVBXdr7"/>
    <x v="1"/>
    <n v="4.9000000000000004"/>
    <n v="438"/>
  </r>
  <r>
    <n v="17"/>
    <x v="1"/>
    <x v="1"/>
    <s v="Peas &amp; Pickles"/>
    <s v="N/A"/>
    <s v="N/A"/>
    <s v="N/A"/>
    <s v="N/A"/>
    <n v="17184888336"/>
    <s v="https://maps.app.goo.gl/X4HqRVDxn88dG3LF7"/>
    <x v="1"/>
    <n v="3.7"/>
    <n v="432"/>
  </r>
  <r>
    <n v="18"/>
    <x v="1"/>
    <x v="1"/>
    <s v="Ha Ha Fresh Corporation"/>
    <s v="N/A"/>
    <s v="N/A"/>
    <s v="N/A"/>
    <s v="N/A"/>
    <n v="12129247249"/>
    <s v="https://maps.app.goo.gl/RUoX6ZfrfkwUrXUR8"/>
    <x v="2"/>
    <n v="3.8"/>
    <n v="16"/>
  </r>
  <r>
    <n v="19"/>
    <x v="1"/>
    <x v="1"/>
    <s v="Lime Tree Market"/>
    <s v="N/A"/>
    <s v="N/A"/>
    <s v="N/A"/>
    <s v="N/A"/>
    <n v="19176756480"/>
    <s v="https://maps.app.goo.gl/mRqMhvYnQCuBanHu8"/>
    <x v="1"/>
    <n v="3.8"/>
    <n v="50"/>
  </r>
  <r>
    <n v="20"/>
    <x v="0"/>
    <x v="0"/>
    <s v="Lucknow Medical Store"/>
    <s v="N/A"/>
    <s v="N/A"/>
    <s v="N/A"/>
    <s v="N/A"/>
    <n v="9795874121"/>
    <s v="https://maps.app.goo.gl/gF8nNigdUrRL2XuJ6"/>
    <x v="3"/>
    <n v="4.4000000000000004"/>
    <n v="26"/>
  </r>
  <r>
    <n v="21"/>
    <x v="0"/>
    <x v="0"/>
    <s v="Krishna Medicals"/>
    <s v="N/A"/>
    <s v="N/A"/>
    <s v="N/A"/>
    <s v="N/A"/>
    <n v="9118147955"/>
    <s v="https://maps.app.goo.gl/LYPPy5VnmPr4H6zw6"/>
    <x v="3"/>
    <n v="4.8"/>
    <n v="66"/>
  </r>
  <r>
    <n v="22"/>
    <x v="0"/>
    <x v="0"/>
    <s v="Kishori Lal Prabhu Dayal Medical Store"/>
    <s v="N/A"/>
    <s v="N/A"/>
    <s v="N/A"/>
    <s v="N/A"/>
    <n v="9451314111"/>
    <s v="https://maps.app.goo.gl/FyP4BF3uzXvpEooY7"/>
    <x v="3"/>
    <n v="4.2"/>
    <n v="31"/>
  </r>
  <r>
    <n v="23"/>
    <x v="0"/>
    <x v="0"/>
    <s v="SACHDEVA MEDICAL STORES"/>
    <s v="N/A"/>
    <s v="N/A"/>
    <s v="N/A"/>
    <s v="N/A"/>
    <n v="9415425996"/>
    <s v="https://maps.app.goo.gl/AFuuhnb64qJoRAt88"/>
    <x v="3"/>
    <n v="4.4000000000000004"/>
    <n v="171"/>
  </r>
  <r>
    <n v="24"/>
    <x v="0"/>
    <x v="0"/>
    <s v="Anuj Medicals"/>
    <s v="N/A"/>
    <s v="N/A"/>
    <s v="N/A"/>
    <s v="N/A"/>
    <n v="7398951960"/>
    <s v="https://maps.app.goo.gl/RKG9c9JhXiFJGTtx7"/>
    <x v="3"/>
    <n v="4.9000000000000004"/>
    <n v="85"/>
  </r>
  <r>
    <n v="25"/>
    <x v="0"/>
    <x v="0"/>
    <s v="Nirmala medical store"/>
    <s v="N/A"/>
    <s v="N/A"/>
    <s v="N/A"/>
    <s v="N/A"/>
    <n v="9839108070"/>
    <s v="https://maps.app.goo.gl/frsVWbfV96yfbUWF7"/>
    <x v="3"/>
    <n v="4.5"/>
    <n v="71"/>
  </r>
  <r>
    <n v="26"/>
    <x v="0"/>
    <x v="0"/>
    <s v="Anshu Medical Store"/>
    <s v="N/A"/>
    <s v="N/A"/>
    <s v="N/A"/>
    <s v="N/A"/>
    <n v="9389812289"/>
    <s v="https://maps.app.goo.gl/bHUXrRLsucc9XXCn7"/>
    <x v="3"/>
    <n v="3.8"/>
    <n v="54"/>
  </r>
  <r>
    <n v="27"/>
    <x v="0"/>
    <x v="0"/>
    <s v="MEDICINE HOUSE"/>
    <s v="N/A"/>
    <s v="N/A"/>
    <s v="N/A"/>
    <s v="N/A"/>
    <n v="7408214444"/>
    <s v="https://maps.app.goo.gl/UZUchN6fm1TKEuWY6"/>
    <x v="3"/>
    <n v="4.0999999999999996"/>
    <n v="54"/>
  </r>
  <r>
    <n v="28"/>
    <x v="0"/>
    <x v="0"/>
    <s v="Universal Medical Store"/>
    <s v="N/A"/>
    <s v="N/A"/>
    <s v="N/A"/>
    <s v="N/A"/>
    <n v="8419075786"/>
    <s v="https://maps.app.goo.gl/HFf13V4A8E7P1mR58"/>
    <x v="3"/>
    <n v="4.5"/>
    <n v="24"/>
  </r>
  <r>
    <n v="29"/>
    <x v="0"/>
    <x v="0"/>
    <s v="Ashtang Medicine Mall"/>
    <s v="N/A"/>
    <s v="N/A"/>
    <s v="N/A"/>
    <s v="N/A"/>
    <n v="5224068374"/>
    <s v="https://maps.app.goo.gl/KvKR3ZquYniyomrb6"/>
    <x v="3"/>
    <n v="4.5999999999999996"/>
    <n v="33"/>
  </r>
  <r>
    <n v="30"/>
    <x v="0"/>
    <x v="0"/>
    <s v="Mini Medical"/>
    <s v="N/A"/>
    <s v="N/A"/>
    <s v="N/A"/>
    <s v="N/A"/>
    <n v="9984232499"/>
    <s v="https://maps.app.goo.gl/Cncz5ccckRYJwSZy7"/>
    <x v="3"/>
    <n v="5"/>
    <n v="4"/>
  </r>
  <r>
    <n v="31"/>
    <x v="0"/>
    <x v="0"/>
    <s v="Ashi Medical Store"/>
    <s v="N/A"/>
    <s v="N/A"/>
    <s v="N/A"/>
    <s v="N/A"/>
    <n v="9415086495"/>
    <s v="https://maps.app.goo.gl/MDYUxT4snnxenws18"/>
    <x v="3"/>
    <n v="4.8"/>
    <n v="21"/>
  </r>
  <r>
    <n v="32"/>
    <x v="0"/>
    <x v="0"/>
    <s v="Gani medical store"/>
    <s v="N/A"/>
    <s v="N/A"/>
    <s v="N/A"/>
    <s v="N/A"/>
    <n v="6386395701"/>
    <s v="https://maps.app.goo.gl/rmYs6yEBiaoBL58q9"/>
    <x v="3"/>
    <n v="5"/>
    <n v="23"/>
  </r>
  <r>
    <n v="33"/>
    <x v="0"/>
    <x v="0"/>
    <s v="DR. PUSHPLATA PHARMACY"/>
    <s v="N/A"/>
    <s v="N/A"/>
    <s v="N/A"/>
    <s v="N/A"/>
    <n v="9151778888"/>
    <s v="https://maps.app.goo.gl/ZyPzrULx1MLcovEJ8"/>
    <x v="3"/>
    <n v="3.9"/>
    <n v="83"/>
  </r>
  <r>
    <n v="34"/>
    <x v="0"/>
    <x v="0"/>
    <s v="Nirala Medical Store"/>
    <s v="N/A"/>
    <s v="N/A"/>
    <s v="N/A"/>
    <s v="N/A"/>
    <n v="9918858222"/>
    <s v="https://maps.app.goo.gl/usXKu7wZoNXa4RJU8"/>
    <x v="3"/>
    <n v="3.8"/>
    <n v="116"/>
  </r>
  <r>
    <n v="35"/>
    <x v="0"/>
    <x v="0"/>
    <s v="Popular Medicines"/>
    <s v="N/A"/>
    <s v="N/A"/>
    <s v="N/A"/>
    <s v="N/A"/>
    <n v="5224043245"/>
    <s v="https://maps.app.goo.gl/QkSgQsQW6eALbCGq5"/>
    <x v="3"/>
    <n v="4.4000000000000004"/>
    <n v="9"/>
  </r>
  <r>
    <n v="36"/>
    <x v="0"/>
    <x v="0"/>
    <s v="Medi99 | Online Pharmacy | Medical store | Lucknow"/>
    <s v="N/A"/>
    <s v="N/A"/>
    <s v="N/A"/>
    <s v="N/A"/>
    <n v="9161633499"/>
    <s v="https://maps.app.goo.gl/shnWCrSFoBxKWcqE9"/>
    <x v="3"/>
    <n v="4.5"/>
    <n v="11"/>
  </r>
  <r>
    <n v="37"/>
    <x v="0"/>
    <x v="0"/>
    <s v="Rishabh Medical Store"/>
    <s v="N/A"/>
    <s v="N/A"/>
    <s v="N/A"/>
    <s v="N/A"/>
    <n v="7270075920"/>
    <s v="https://maps.app.goo.gl/jQPpds4zfikgE1c5A"/>
    <x v="3"/>
    <n v="4.9000000000000004"/>
    <n v="79"/>
  </r>
  <r>
    <n v="38"/>
    <x v="0"/>
    <x v="0"/>
    <s v="Abha Medical Store"/>
    <s v="N/A"/>
    <s v="N/A"/>
    <s v="N/A"/>
    <s v="N/A"/>
    <n v="5222638266"/>
    <s v="https://maps.app.goo.gl/PUjWLajarpvgnGqP9"/>
    <x v="3"/>
    <n v="4.5"/>
    <n v="15"/>
  </r>
  <r>
    <n v="39"/>
    <x v="0"/>
    <x v="0"/>
    <s v="Mohan Medical Hall"/>
    <s v="N/A"/>
    <s v="N/A"/>
    <s v="N/A"/>
    <s v="N/A"/>
    <n v="9936171731"/>
    <s v="https://maps.app.goo.gl/1uLJP4erCsEjCbMd6"/>
    <x v="3"/>
    <n v="4.8"/>
    <n v="91"/>
  </r>
  <r>
    <n v="40"/>
    <x v="1"/>
    <x v="1"/>
    <s v="M &amp; R Medical Supplies"/>
    <s v="N/A"/>
    <s v="N/A"/>
    <s v="N/A"/>
    <s v="N/A"/>
    <n v="17187140822"/>
    <s v="https://maps.app.goo.gl/g9RMzmWTWEuE1PSN9"/>
    <x v="3"/>
    <n v="5"/>
    <n v="6"/>
  </r>
  <r>
    <n v="41"/>
    <x v="1"/>
    <x v="1"/>
    <s v="Rite Way Drugs"/>
    <s v="N/A"/>
    <s v="N/A"/>
    <s v="N/A"/>
    <s v="N/A"/>
    <n v="12127776864"/>
    <s v="https://maps.app.goo.gl/aTvTHNt9bA5fmBAe9"/>
    <x v="3"/>
    <n v="5"/>
    <n v="50"/>
  </r>
  <r>
    <n v="42"/>
    <x v="1"/>
    <x v="1"/>
    <s v="N &amp; L Medical Supply Inc"/>
    <s v="N/A"/>
    <s v="N/A"/>
    <s v="N/A"/>
    <s v="N/A"/>
    <n v="17182329077"/>
    <s v="https://maps.app.goo.gl/HezBKeBy68i2pE6T6"/>
    <x v="3"/>
    <n v="3"/>
    <n v="12"/>
  </r>
  <r>
    <n v="43"/>
    <x v="1"/>
    <x v="1"/>
    <s v="Medicine Plus Pharmacy"/>
    <s v="N/A"/>
    <s v="N/A"/>
    <s v="N/A"/>
    <s v="N/A"/>
    <n v="12127058717"/>
    <s v="https://maps.app.goo.gl/CsAEDguBHZGFiHQP6"/>
    <x v="3"/>
    <n v="4.0999999999999996"/>
    <n v="78"/>
  </r>
  <r>
    <n v="44"/>
    <x v="1"/>
    <x v="1"/>
    <s v="Slope Drugs &amp; Surgical Supply"/>
    <s v="N/A"/>
    <s v="N/A"/>
    <s v="N/A"/>
    <s v="N/A"/>
    <n v="17187888899"/>
    <s v="https://maps.app.goo.gl/FsvtpMXYpY3Jrcmt9"/>
    <x v="3"/>
    <n v="2.9"/>
    <n v="52"/>
  </r>
  <r>
    <n v="45"/>
    <x v="1"/>
    <x v="1"/>
    <s v="Block Drug Store"/>
    <s v="N/A"/>
    <s v="N/A"/>
    <s v="N/A"/>
    <s v="N/A"/>
    <n v="12124731587"/>
    <s v="https://maps.app.goo.gl/45hhNy6bHoTqzG929"/>
    <x v="3"/>
    <n v="4.7"/>
    <n v="26"/>
  </r>
  <r>
    <n v="46"/>
    <x v="1"/>
    <x v="1"/>
    <s v="The Somerset Garage"/>
    <s v="N/A"/>
    <s v="N/A"/>
    <s v="N/A"/>
    <s v="N/A"/>
    <n v="12126500911"/>
    <s v="https://maps.app.goo.gl/jVkBQSgrtuf3gqJRA"/>
    <x v="4"/>
    <n v="3.7"/>
    <n v="28"/>
  </r>
  <r>
    <n v="47"/>
    <x v="1"/>
    <x v="1"/>
    <s v="Model Garage Inc"/>
    <s v="N/A"/>
    <s v="N/A"/>
    <s v="N/A"/>
    <s v="N/A"/>
    <n v="17188719200"/>
    <s v="https://maps.app.goo.gl/RXjdq8D4BvSQjY1r6"/>
    <x v="4"/>
    <n v="4.7"/>
    <n v="3"/>
  </r>
  <r>
    <n v="48"/>
    <x v="1"/>
    <x v="1"/>
    <s v="The 1345 Garage"/>
    <s v="N/A"/>
    <s v="N/A"/>
    <s v="N/A"/>
    <s v="N/A"/>
    <n v="12122458708"/>
    <s v="https://maps.app.goo.gl/Ys6fuFMtijcevnAC7"/>
    <x v="4"/>
    <n v="2.2999999999999998"/>
    <n v="37"/>
  </r>
  <r>
    <n v="49"/>
    <x v="1"/>
    <x v="1"/>
    <s v="45 Garage"/>
    <s v="N/A"/>
    <s v="N/A"/>
    <s v="N/A"/>
    <s v="N/A"/>
    <n v="12122650774"/>
    <s v="https://maps.app.goo.gl/wa3uAPfebF1hxhZS8"/>
    <x v="4"/>
    <n v="2.6"/>
    <n v="93"/>
  </r>
  <r>
    <n v="50"/>
    <x v="1"/>
    <x v="1"/>
    <s v="Meyers Parking: MP Alyn Garage"/>
    <s v="N/A"/>
    <s v="N/A"/>
    <s v="N/A"/>
    <s v="N/A"/>
    <n v="16468239289"/>
    <s v="https://maps.app.goo.gl/K447TNTzTokUA7rc8"/>
    <x v="4"/>
    <n v="3.9"/>
    <n v="14"/>
  </r>
  <r>
    <n v="51"/>
    <x v="1"/>
    <x v="1"/>
    <s v="Icon Parking Garage"/>
    <s v="N/A"/>
    <s v="N/A"/>
    <s v="N/A"/>
    <s v="N/A"/>
    <n v="18777275464"/>
    <s v="https://maps.app.goo.gl/e5mc5NEyzjbqz31RA"/>
    <x v="4"/>
    <n v="3"/>
    <n v="97"/>
  </r>
  <r>
    <n v="52"/>
    <x v="1"/>
    <x v="1"/>
    <s v="AZ Parking"/>
    <s v="N/A"/>
    <s v="N/A"/>
    <s v="N/A"/>
    <s v="N/A"/>
    <n v="12125484370"/>
    <s v="https://maps.app.goo.gl/quEJ2tfDWBUKViut6"/>
    <x v="4"/>
    <n v="4.5"/>
    <n v="162"/>
  </r>
  <r>
    <n v="53"/>
    <x v="1"/>
    <x v="1"/>
    <s v="AstorTerrace Garage"/>
    <s v="N/A"/>
    <s v="N/A"/>
    <s v="N/A"/>
    <s v="N/A"/>
    <n v="12127220066"/>
    <s v="https://maps.app.goo.gl/9uCm4jC7Q2qHkrmq9"/>
    <x v="4"/>
    <n v="4.7"/>
    <n v="10"/>
  </r>
  <r>
    <n v="54"/>
    <x v="1"/>
    <x v="1"/>
    <s v="Barrow Street Garage LLC"/>
    <s v="N/A"/>
    <s v="N/A"/>
    <s v="N/A"/>
    <s v="N/A"/>
    <n v="12122429791"/>
    <s v="https://maps.app.goo.gl/197YRXHqCadzhMuHA"/>
    <x v="4"/>
    <n v="3.2"/>
    <n v="38"/>
  </r>
  <r>
    <n v="55"/>
    <x v="0"/>
    <x v="0"/>
    <s v="Ashirwad Medical Store"/>
    <s v="N/A"/>
    <s v="N/A"/>
    <s v="N/A"/>
    <s v="N/A"/>
    <n v="7347867373"/>
    <s v="https://maps.app.goo.gl/i62fbrymDr2ywgAs9"/>
    <x v="3"/>
    <n v="3.3"/>
    <n v="24"/>
  </r>
  <r>
    <n v="56"/>
    <x v="0"/>
    <x v="0"/>
    <s v="Om Medical Store"/>
    <s v="N/A"/>
    <s v="N/A"/>
    <s v="N/A"/>
    <s v="N/A"/>
    <n v="7081285540"/>
    <s v="https://maps.app.goo.gl/KCtAogUL9paaXwb1A"/>
    <x v="3"/>
    <n v="3.8"/>
    <n v="53"/>
  </r>
  <r>
    <n v="57"/>
    <x v="0"/>
    <x v="0"/>
    <s v="Medicine Mart"/>
    <s v="N/A"/>
    <s v="N/A"/>
    <s v="N/A"/>
    <s v="N/A"/>
    <n v="9936778598"/>
    <s v="https://maps.app.goo.gl/S5SvDJVRwUD4jY1JA"/>
    <x v="3"/>
    <n v="4.5999999999999996"/>
    <n v="29"/>
  </r>
  <r>
    <n v="58"/>
    <x v="0"/>
    <x v="0"/>
    <s v="Shukla Medical Store"/>
    <s v="N/A"/>
    <s v="N/A"/>
    <s v="N/A"/>
    <s v="N/A"/>
    <n v="9839628426"/>
    <s v="https://maps.app.goo.gl/9QQz9yYaqorifrxK6"/>
    <x v="3"/>
    <n v="4.0999999999999996"/>
    <n v="7"/>
  </r>
  <r>
    <n v="59"/>
    <x v="0"/>
    <x v="0"/>
    <s v="New Life Pharmacy"/>
    <s v="N/A"/>
    <s v="N/A"/>
    <s v="N/A"/>
    <s v="N/A"/>
    <n v="8934029404"/>
    <s v="https://maps.app.goo.gl/YE4roBCuiiF8dqG68"/>
    <x v="3"/>
    <n v="4"/>
    <n v="6"/>
  </r>
  <r>
    <n v="60"/>
    <x v="0"/>
    <x v="0"/>
    <s v="Jyotirmay Dental Health Care Centre"/>
    <s v="N/A"/>
    <s v="N/A"/>
    <s v="N/A"/>
    <s v="N/A"/>
    <n v="8299296398"/>
    <s v="https://maps.app.goo.gl/Gfifr5u1wPCaJgJd6"/>
    <x v="3"/>
    <n v="4.2"/>
    <n v="32"/>
  </r>
  <r>
    <n v="61"/>
    <x v="0"/>
    <x v="0"/>
    <s v="Dr. Arpit Gupta"/>
    <s v="N/A"/>
    <s v="N/A"/>
    <s v="N/A"/>
    <s v="N/A"/>
    <n v="6392701509"/>
    <s v="https://maps.app.goo.gl/9i9PJaGa1Pcj6XmM7"/>
    <x v="3"/>
    <n v="4.9000000000000004"/>
    <n v="181"/>
  </r>
  <r>
    <n v="62"/>
    <x v="0"/>
    <x v="0"/>
    <s v="Jio Medical"/>
    <s v="N/A"/>
    <s v="N/A"/>
    <s v="N/A"/>
    <s v="N/A"/>
    <n v="9984417630"/>
    <s v="https://maps.app.goo.gl/56uSn3DNXL8Vatxx7"/>
    <x v="3"/>
    <n v="5"/>
    <n v="2"/>
  </r>
  <r>
    <n v="63"/>
    <x v="0"/>
    <x v="0"/>
    <s v="BOUNCE BACK PHYSIOTHERAPY"/>
    <s v="N/A"/>
    <s v="N/A"/>
    <s v="N/A"/>
    <s v="N/A"/>
    <n v="9554997653"/>
    <s v="https://maps.app.goo.gl/qERXRsREvXWFaEvw9"/>
    <x v="3"/>
    <n v="4.9000000000000004"/>
    <n v="63"/>
  </r>
  <r>
    <n v="64"/>
    <x v="0"/>
    <x v="0"/>
    <s v="Vatsalya Clinic Dr. S.K Rai"/>
    <s v="N/A"/>
    <s v="N/A"/>
    <s v="N/A"/>
    <s v="N/A"/>
    <n v="9198595255"/>
    <s v="https://maps.app.goo.gl/qC8LoaP2qSVdkPuBA"/>
    <x v="3"/>
    <n v="4.2"/>
    <n v="179"/>
  </r>
  <r>
    <n v="65"/>
    <x v="0"/>
    <x v="0"/>
    <s v="CENTRAL AGENCIES"/>
    <s v="N/A"/>
    <s v="N/A"/>
    <s v="N/A"/>
    <s v="N/A"/>
    <n v="9838179666"/>
    <s v="https://maps.app.goo.gl/59cM2ovhQFrRqeYu7"/>
    <x v="3"/>
    <n v="5"/>
    <n v="6"/>
  </r>
  <r>
    <n v="66"/>
    <x v="0"/>
    <x v="0"/>
    <s v="BLUENECK HOSPITEC LLP"/>
    <s v="N/A"/>
    <s v="N/A"/>
    <s v="N/A"/>
    <s v="N/A"/>
    <n v="9307055555"/>
    <s v="https://maps.app.goo.gl/VwAu5bggYmEte2p17"/>
    <x v="3"/>
    <n v="3.7"/>
    <n v="6"/>
  </r>
  <r>
    <n v="67"/>
    <x v="0"/>
    <x v="0"/>
    <s v="Maa Vaishno Medical Store"/>
    <s v="N/A"/>
    <s v="N/A"/>
    <s v="N/A"/>
    <s v="N/A"/>
    <n v="5224236566"/>
    <s v="https://maps.app.goo.gl/hMZSxEShQfdTNh7V7"/>
    <x v="3"/>
    <n v="4.5999999999999996"/>
    <n v="11"/>
  </r>
  <r>
    <n v="68"/>
    <x v="0"/>
    <x v="0"/>
    <s v="A.S.Medical Store"/>
    <s v="N/A"/>
    <s v="N/A"/>
    <s v="N/A"/>
    <s v="N/A"/>
    <n v="8707605386"/>
    <s v="https://maps.app.goo.gl/Mbyhtkk8skYYiN1q8"/>
    <x v="3"/>
    <n v="3.6"/>
    <n v="5"/>
  </r>
  <r>
    <n v="69"/>
    <x v="0"/>
    <x v="0"/>
    <s v="Tejas Pharmacy &amp; Surgical Store"/>
    <s v="N/A"/>
    <s v="N/A"/>
    <s v="N/A"/>
    <s v="N/A"/>
    <n v="9519727481"/>
    <s v="https://maps.app.goo.gl/2SgwR23P63Bd9Trz8"/>
    <x v="3"/>
    <n v="5"/>
    <n v="137"/>
  </r>
  <r>
    <n v="70"/>
    <x v="1"/>
    <x v="1"/>
    <s v="Select Garages - 9 Park Ave. Garage"/>
    <s v="N/A"/>
    <s v="N/A"/>
    <s v="N/A"/>
    <s v="N/A"/>
    <n v="19174091992"/>
    <s v="https://maps.app.goo.gl/dGP4GdMrgUUd24TP7"/>
    <x v="4"/>
    <n v="1.2"/>
    <n v="25"/>
  </r>
  <r>
    <n v="71"/>
    <x v="1"/>
    <x v="1"/>
    <s v="79-80 Garage Corporation"/>
    <s v="N/A"/>
    <s v="N/A"/>
    <s v="N/A"/>
    <s v="N/A"/>
    <n v="19177451148"/>
    <s v="https://maps.app.goo.gl/BsqUNhm3QBcC9PLn7"/>
    <x v="4"/>
    <n v="3.3"/>
    <n v="19"/>
  </r>
  <r>
    <n v="72"/>
    <x v="1"/>
    <x v="1"/>
    <s v="MTP Park"/>
    <s v="N/A"/>
    <s v="N/A"/>
    <s v="N/A"/>
    <s v="N/A"/>
    <n v="12123682579"/>
    <s v="https://maps.app.goo.gl/2LTdFkXrpxMxFPERA"/>
    <x v="4"/>
    <n v="2.8"/>
    <n v="5"/>
  </r>
  <r>
    <n v="73"/>
    <x v="1"/>
    <x v="1"/>
    <s v="NYC Parking at CBS Building@ 31 W 52nd St"/>
    <s v="N/A"/>
    <s v="N/A"/>
    <s v="N/A"/>
    <s v="N/A"/>
    <n v="18008366666"/>
    <s v="https://maps.app.goo.gl/zYkMJDsUC4iqpAjv7"/>
    <x v="4"/>
    <n v="3.6"/>
    <n v="40"/>
  </r>
  <r>
    <n v="74"/>
    <x v="1"/>
    <x v="1"/>
    <s v="Manhattan Garage Door Repair Inc"/>
    <s v="N/A"/>
    <s v="N/A"/>
    <s v="N/A"/>
    <s v="N/A"/>
    <n v="13323319247"/>
    <s v="https://maps.app.goo.gl/sLfAn588HbQWJpV57"/>
    <x v="4"/>
    <n v="5"/>
    <n v="13"/>
  </r>
  <r>
    <n v="75"/>
    <x v="0"/>
    <x v="0"/>
    <s v="Fine Medical Store"/>
    <s v="N/A"/>
    <s v="N/A"/>
    <s v="N/A"/>
    <s v="N/A"/>
    <n v="9919524137"/>
    <s v="https://maps.app.goo.gl/RKNF15HCVty8jory8"/>
    <x v="3"/>
    <n v="3.8"/>
    <n v="28"/>
  </r>
  <r>
    <n v="76"/>
    <x v="0"/>
    <x v="0"/>
    <s v="Gomti Medical Store"/>
    <s v="N/A"/>
    <s v="N/A"/>
    <s v="N/A"/>
    <s v="N/A"/>
    <n v="9415104223"/>
    <s v="https://maps.app.goo.gl/A8yfhyUFYDRn88Sm6"/>
    <x v="3"/>
    <n v="4.4000000000000004"/>
    <n v="12"/>
  </r>
  <r>
    <n v="77"/>
    <x v="0"/>
    <x v="0"/>
    <s v="BALAJI MEDICALS"/>
    <s v="N/A"/>
    <s v="N/A"/>
    <s v="N/A"/>
    <s v="N/A"/>
    <n v="8081758681"/>
    <s v="https://maps.app.goo.gl/DdihNnVqnqBeahwW6"/>
    <x v="3"/>
    <n v="4.3"/>
    <n v="14"/>
  </r>
  <r>
    <n v="78"/>
    <x v="0"/>
    <x v="0"/>
    <s v="Vinayak Medicare Hospital"/>
    <s v="N/A"/>
    <s v="N/A"/>
    <s v="N/A"/>
    <s v="N/A"/>
    <n v="9721050077"/>
    <s v="https://maps.app.goo.gl/JHnpWDgSJXyPiaxB7"/>
    <x v="3"/>
    <n v="4.3"/>
    <n v="285"/>
  </r>
  <r>
    <n v="79"/>
    <x v="0"/>
    <x v="0"/>
    <s v="Agarwal General Store"/>
    <s v="N/A"/>
    <s v="N/A"/>
    <s v="N/A"/>
    <s v="N/A"/>
    <n v="9451197467"/>
    <s v="https://maps.app.goo.gl/MQ7P8YbDAftJptha9"/>
    <x v="2"/>
    <n v="3.8"/>
    <n v="311"/>
  </r>
  <r>
    <n v="80"/>
    <x v="0"/>
    <x v="0"/>
    <s v="Prabhu Dayal Provision Store"/>
    <s v="N/A"/>
    <s v="N/A"/>
    <s v="N/A"/>
    <s v="N/A"/>
    <n v="9044666666"/>
    <s v="https://maps.app.goo.gl/VZLeYSocaZvi34rA7"/>
    <x v="2"/>
    <n v="4.0999999999999996"/>
    <n v="500"/>
  </r>
  <r>
    <n v="81"/>
    <x v="0"/>
    <x v="0"/>
    <s v="Ganpati General Store"/>
    <s v="N/A"/>
    <s v="N/A"/>
    <s v="N/A"/>
    <s v="N/A"/>
    <n v="6394064977"/>
    <s v="https://maps.app.goo.gl/LaETxPhBRTNMm8gG7"/>
    <x v="2"/>
    <n v="4.2"/>
    <n v="109"/>
  </r>
  <r>
    <n v="82"/>
    <x v="0"/>
    <x v="0"/>
    <s v="Vijay General Store"/>
    <s v="N/A"/>
    <s v="N/A"/>
    <s v="N/A"/>
    <s v="N/A"/>
    <n v="8318681494"/>
    <s v="https://maps.app.goo.gl/h3Pq3yVjwdgtUjFJ6"/>
    <x v="2"/>
    <n v="4.5999999999999996"/>
    <n v="10"/>
  </r>
  <r>
    <n v="83"/>
    <x v="0"/>
    <x v="0"/>
    <s v="ARYA MART"/>
    <s v="N/A"/>
    <s v="N/A"/>
    <s v="N/A"/>
    <s v="N/A"/>
    <n v="9807255215"/>
    <s v="https://maps.app.goo.gl/wbA9gryizMWnQtjb6"/>
    <x v="2"/>
    <n v="4.0999999999999996"/>
    <n v="490"/>
  </r>
  <r>
    <n v="84"/>
    <x v="0"/>
    <x v="0"/>
    <s v="Ajay Super Store"/>
    <s v="N/A"/>
    <s v="N/A"/>
    <s v="N/A"/>
    <s v="N/A"/>
    <n v="9415919651"/>
    <s v="https://maps.app.goo.gl/56uLnH9PcqFhu3Ww9"/>
    <x v="2"/>
    <n v="4.2"/>
    <n v="383"/>
  </r>
  <r>
    <n v="85"/>
    <x v="0"/>
    <x v="0"/>
    <s v="SAHU GENERAL STORE"/>
    <s v="N/A"/>
    <s v="N/A"/>
    <s v="N/A"/>
    <s v="N/A"/>
    <n v="9918391660"/>
    <s v="https://maps.app.goo.gl/wptQJDBKo7tC7L4R8"/>
    <x v="2"/>
    <n v="4.2"/>
    <n v="93"/>
  </r>
  <r>
    <n v="86"/>
    <x v="0"/>
    <x v="0"/>
    <s v="S.L Departmental Store"/>
    <s v="N/A"/>
    <s v="N/A"/>
    <s v="N/A"/>
    <s v="N/A"/>
    <n v="5222304184"/>
    <s v="https://maps.app.goo.gl/2LDU72bgKZLvmGTj8"/>
    <x v="2"/>
    <n v="3.9"/>
    <n v="401"/>
  </r>
  <r>
    <n v="87"/>
    <x v="0"/>
    <x v="0"/>
    <s v="Zain General Store"/>
    <s v="N/A"/>
    <s v="N/A"/>
    <s v="N/A"/>
    <s v="N/A"/>
    <n v="9889339393"/>
    <s v="https://maps.app.goo.gl/YneA4FF1jhaUt55B8"/>
    <x v="2"/>
    <n v="4.8"/>
    <n v="5"/>
  </r>
  <r>
    <n v="88"/>
    <x v="0"/>
    <x v="0"/>
    <s v="Sanjay Store"/>
    <s v="N/A"/>
    <s v="N/A"/>
    <s v="N/A"/>
    <s v="N/A"/>
    <n v="9919379466"/>
    <s v="https://maps.app.goo.gl/vQJ7eVKJ24R2eKJV6"/>
    <x v="2"/>
    <n v="3.8"/>
    <n v="212"/>
  </r>
  <r>
    <n v="89"/>
    <x v="0"/>
    <x v="0"/>
    <s v="Shyam General Store"/>
    <s v="N/A"/>
    <s v="N/A"/>
    <s v="N/A"/>
    <s v="N/A"/>
    <n v="9839703487"/>
    <s v="https://maps.app.goo.gl/G5kAV5PPHoegSQdB7"/>
    <x v="2"/>
    <n v="4.5999999999999996"/>
    <n v="15"/>
  </r>
  <r>
    <n v="90"/>
    <x v="1"/>
    <x v="1"/>
    <s v="4-Garage"/>
    <s v="N/A"/>
    <s v="N/A"/>
    <s v="N/A"/>
    <s v="N/A"/>
    <n v="19184427243"/>
    <s v="https://maps.app.goo.gl/WzwzEXQY2ZoRH7pY8"/>
    <x v="4"/>
    <n v="5"/>
    <n v="10"/>
  </r>
  <r>
    <n v="91"/>
    <x v="1"/>
    <x v="1"/>
    <s v="SFG Garage"/>
    <s v="N/A"/>
    <s v="N/A"/>
    <s v="N/A"/>
    <s v="N/A"/>
    <n v="12122498960"/>
    <s v="https://maps.app.goo.gl/xzTF4X6YrxPkoC5t8"/>
    <x v="4"/>
    <n v="1.9"/>
    <n v="8"/>
  </r>
  <r>
    <n v="92"/>
    <x v="1"/>
    <x v="1"/>
    <s v="86. Parking Garage Corp."/>
    <s v="N/A"/>
    <s v="N/A"/>
    <s v="N/A"/>
    <s v="N/A"/>
    <n v="17186398129"/>
    <s v="https://maps.app.goo.gl/QYAcqpRcYNUMChMr6"/>
    <x v="4"/>
    <n v="3.8"/>
    <n v="28"/>
  </r>
  <r>
    <n v="93"/>
    <x v="1"/>
    <x v="1"/>
    <s v="RL Mercer Street LLC"/>
    <s v="N/A"/>
    <s v="N/A"/>
    <s v="N/A"/>
    <s v="N/A"/>
    <n v="12122193413"/>
    <s v="https://maps.app.goo.gl/2JzxWoUAnkF171yz6"/>
    <x v="4"/>
    <n v="3.1"/>
    <n v="17"/>
  </r>
  <r>
    <n v="94"/>
    <x v="1"/>
    <x v="1"/>
    <s v="Parking"/>
    <s v="N/A"/>
    <s v="N/A"/>
    <s v="N/A"/>
    <s v="N/A"/>
    <n v="12123217500"/>
    <s v="https://maps.app.goo.gl/PvBcjviEDLuxCP3KA"/>
    <x v="4"/>
    <n v="3.6"/>
    <n v="26"/>
  </r>
  <r>
    <n v="95"/>
    <x v="0"/>
    <x v="0"/>
    <s v="Gurpreet Bakers"/>
    <s v="N/A"/>
    <s v="N/A"/>
    <s v="N/A"/>
    <s v="N/A"/>
    <n v="8808790704"/>
    <s v="https://maps.app.goo.gl/q6jTvwsWxW7TTFJeA"/>
    <x v="5"/>
    <n v="4.5999999999999996"/>
    <n v="7"/>
  </r>
  <r>
    <n v="96"/>
    <x v="0"/>
    <x v="0"/>
    <s v="Essence &amp; General Supplies"/>
    <s v="N/A"/>
    <s v="N/A"/>
    <s v="N/A"/>
    <s v="N/A"/>
    <n v="9415479060"/>
    <s v="https://maps.app.goo.gl/F8tK9hkQEG2WWPM39"/>
    <x v="5"/>
    <n v="4"/>
    <n v="62"/>
  </r>
  <r>
    <n v="97"/>
    <x v="0"/>
    <x v="0"/>
    <s v="S M Bakery"/>
    <s v="N/A"/>
    <s v="N/A"/>
    <s v="N/A"/>
    <s v="N/A"/>
    <n v="9389131446"/>
    <s v="https://maps.app.goo.gl/p5siA6LFyDgwpjqv6"/>
    <x v="5"/>
    <n v="2.8"/>
    <n v="11"/>
  </r>
  <r>
    <n v="98"/>
    <x v="0"/>
    <x v="0"/>
    <s v="IamGroot.in"/>
    <s v="N/A"/>
    <s v="N/A"/>
    <s v="N/A"/>
    <s v="N/A"/>
    <n v="8299803513"/>
    <s v="https://maps.app.goo.gl/xVgiX6PVeQwJFFMn9"/>
    <x v="5"/>
    <n v="2.5"/>
    <n v="44"/>
  </r>
  <r>
    <n v="99"/>
    <x v="0"/>
    <x v="0"/>
    <s v="New Jon Bakers"/>
    <s v="N/A"/>
    <s v="N/A"/>
    <s v="N/A"/>
    <s v="N/A"/>
    <n v="9648847747"/>
    <s v="https://maps.app.goo.gl/iUG2bzgzJi79AJVJ6"/>
    <x v="5"/>
    <n v="4.3"/>
    <n v="15"/>
  </r>
  <r>
    <n v="100"/>
    <x v="0"/>
    <x v="0"/>
    <s v="Bread Smith Bakery (Pure Veg)"/>
    <s v="N/A"/>
    <s v="N/A"/>
    <s v="N/A"/>
    <s v="N/A"/>
    <n v="5224002552"/>
    <s v="https://maps.app.goo.gl/rVmMcUmL29mr7ncC8"/>
    <x v="5"/>
    <n v="4.3"/>
    <n v="419"/>
  </r>
  <r>
    <n v="101"/>
    <x v="0"/>
    <x v="0"/>
    <s v="Modern Bakery"/>
    <s v="N/A"/>
    <s v="N/A"/>
    <s v="N/A"/>
    <s v="N/A"/>
    <n v="9336383722"/>
    <s v="https://maps.app.goo.gl/K2VQw26SGWpvXiEm9"/>
    <x v="5"/>
    <n v="4.2"/>
    <n v="550"/>
  </r>
  <r>
    <n v="102"/>
    <x v="0"/>
    <x v="0"/>
    <s v="Aone Bakery"/>
    <s v="N/A"/>
    <s v="N/A"/>
    <s v="N/A"/>
    <s v="N/A"/>
    <n v="9235404869"/>
    <s v="https://maps.app.goo.gl/2jvbcXwEsGKPAHL58"/>
    <x v="5"/>
    <n v="4.9000000000000004"/>
    <n v="146"/>
  </r>
  <r>
    <n v="103"/>
    <x v="0"/>
    <x v="0"/>
    <s v="Butter Story"/>
    <s v="N/A"/>
    <s v="N/A"/>
    <s v="N/A"/>
    <s v="N/A"/>
    <n v="8874474455"/>
    <s v="https://maps.app.goo.gl/CXPq8x649kh8iwZj8"/>
    <x v="5"/>
    <n v="4"/>
    <n v="1920"/>
  </r>
  <r>
    <n v="104"/>
    <x v="0"/>
    <x v="0"/>
    <s v="Cake Crumbs The home made cakes"/>
    <s v="N/A"/>
    <s v="N/A"/>
    <s v="N/A"/>
    <s v="N/A"/>
    <n v="9170026504"/>
    <s v="https://maps.app.goo.gl/XJ6owUw26tjsmy1t9"/>
    <x v="5"/>
    <n v="5"/>
    <n v="37"/>
  </r>
  <r>
    <n v="105"/>
    <x v="0"/>
    <x v="0"/>
    <s v="R S bakery"/>
    <s v="N/A"/>
    <s v="N/A"/>
    <s v="N/A"/>
    <s v="N/A"/>
    <n v="7607491101"/>
    <s v="https://maps.app.goo.gl/A8WPn23LLevEehMG8"/>
    <x v="5"/>
    <n v="4.9000000000000004"/>
    <n v="97"/>
  </r>
  <r>
    <n v="106"/>
    <x v="0"/>
    <x v="0"/>
    <s v="Winni Cakes &amp; More"/>
    <s v="N/A"/>
    <s v="N/A"/>
    <s v="N/A"/>
    <s v="N/A"/>
    <n v="8174943200"/>
    <s v="https://maps.app.goo.gl/fPsN8ACEcUQc4Bpb7"/>
    <x v="5"/>
    <n v="4.5"/>
    <n v="104"/>
  </r>
  <r>
    <n v="107"/>
    <x v="0"/>
    <x v="0"/>
    <s v="Yummy Baker's &amp; Confectioners"/>
    <s v="N/A"/>
    <s v="N/A"/>
    <s v="N/A"/>
    <s v="N/A"/>
    <n v="8318846600"/>
    <s v="https://maps.app.goo.gl/Dbtzbys5wWtjggn97"/>
    <x v="5"/>
    <n v="4.7"/>
    <n v="85"/>
  </r>
  <r>
    <n v="108"/>
    <x v="0"/>
    <x v="0"/>
    <s v="Celebration bakery &amp; cafe"/>
    <s v="N/A"/>
    <s v="N/A"/>
    <s v="N/A"/>
    <s v="N/A"/>
    <n v="7007786520"/>
    <s v="https://maps.app.goo.gl/H2q4Lp4jFQjuu8Nf6"/>
    <x v="5"/>
    <n v="4.9000000000000004"/>
    <n v="34"/>
  </r>
  <r>
    <n v="109"/>
    <x v="1"/>
    <x v="1"/>
    <s v="Eddies Tailor Shop"/>
    <s v="N/A"/>
    <s v="N/A"/>
    <s v="N/A"/>
    <s v="N/A"/>
    <n v="12127220762"/>
    <s v="https://maps.app.goo.gl/1ESn5BX3ArcJ1BSSA"/>
    <x v="6"/>
    <n v="4"/>
    <n v="5"/>
  </r>
  <r>
    <n v="110"/>
    <x v="1"/>
    <x v="1"/>
    <s v="Leonalterations"/>
    <s v="N/A"/>
    <s v="N/A"/>
    <s v="N/A"/>
    <s v="N/A"/>
    <n v="13476831124"/>
    <s v="https://maps.app.goo.gl/nB7mK7qpmDxMKnwL6"/>
    <x v="6"/>
    <n v="4.5"/>
    <n v="23"/>
  </r>
  <r>
    <n v="111"/>
    <x v="1"/>
    <x v="1"/>
    <s v="Michael Tailor Shop"/>
    <s v="N/A"/>
    <s v="N/A"/>
    <s v="N/A"/>
    <s v="N/A"/>
    <n v="12123962210"/>
    <s v="https://maps.app.goo.gl/7h6bMfWzw2pGAjCCA"/>
    <x v="6"/>
    <n v="3.9"/>
    <n v="7"/>
  </r>
  <r>
    <n v="112"/>
    <x v="1"/>
    <x v="1"/>
    <s v="Pak's Tailor"/>
    <s v="N/A"/>
    <s v="N/A"/>
    <s v="N/A"/>
    <s v="N/A"/>
    <n v="12122886035"/>
    <s v="https://maps.app.goo.gl/wNCCaFrba6RjNLHf9"/>
    <x v="6"/>
    <n v="4.0999999999999996"/>
    <n v="15"/>
  </r>
  <r>
    <n v="113"/>
    <x v="1"/>
    <x v="1"/>
    <s v="Ely Custom Tailors"/>
    <s v="N/A"/>
    <s v="N/A"/>
    <s v="N/A"/>
    <s v="N/A"/>
    <n v="16465245166"/>
    <s v="https://maps.app.goo.gl/EACbVy89XByJGQdRA"/>
    <x v="6"/>
    <n v="4.0999999999999996"/>
    <n v="30"/>
  </r>
  <r>
    <n v="114"/>
    <x v="0"/>
    <x v="0"/>
    <s v="Goel General Store"/>
    <s v="N/A"/>
    <s v="N/A"/>
    <s v="N/A"/>
    <s v="N/A"/>
    <n v="5222611484"/>
    <s v="https://maps.app.goo.gl/grrXXfaY1uyCbcsy5"/>
    <x v="2"/>
    <n v="3.9"/>
    <n v="37"/>
  </r>
  <r>
    <n v="115"/>
    <x v="0"/>
    <x v="0"/>
    <s v="Shiv Shankar General Store"/>
    <s v="N/A"/>
    <s v="N/A"/>
    <s v="N/A"/>
    <s v="N/A"/>
    <n v="9918330786"/>
    <s v="https://maps.app.goo.gl/ieFFtgXyY1A7RbTN9"/>
    <x v="2"/>
    <n v="4.2"/>
    <n v="31"/>
  </r>
  <r>
    <n v="116"/>
    <x v="0"/>
    <x v="0"/>
    <s v="New Lucknow store"/>
    <s v="N/A"/>
    <s v="N/A"/>
    <s v="N/A"/>
    <s v="N/A"/>
    <n v="8881999204"/>
    <s v="https://maps.app.goo.gl/TAVMet4JKXqkLSEy5"/>
    <x v="2"/>
    <n v="4.4000000000000004"/>
    <n v="28"/>
  </r>
  <r>
    <n v="117"/>
    <x v="0"/>
    <x v="0"/>
    <s v="NANDI STORE"/>
    <s v="N/A"/>
    <s v="N/A"/>
    <s v="N/A"/>
    <s v="N/A"/>
    <n v="8960367600"/>
    <s v="https://maps.app.goo.gl/vkoLFjAGaCXzL6zy7"/>
    <x v="2"/>
    <n v="3.9"/>
    <n v="170"/>
  </r>
  <r>
    <n v="118"/>
    <x v="0"/>
    <x v="0"/>
    <s v="Shariq General Store"/>
    <s v="N/A"/>
    <s v="N/A"/>
    <s v="N/A"/>
    <s v="N/A"/>
    <n v="9005680925"/>
    <s v="https://maps.app.goo.gl/SwrA5ZcB5FidQSLc8"/>
    <x v="2"/>
    <n v="4.0999999999999996"/>
    <n v="58"/>
  </r>
  <r>
    <n v="119"/>
    <x v="0"/>
    <x v="0"/>
    <s v="Sahul General Store"/>
    <s v="N/A"/>
    <s v="N/A"/>
    <s v="N/A"/>
    <s v="N/A"/>
    <n v="7524823140"/>
    <s v="https://maps.app.goo.gl/Tytywporv6e9L9qJ8"/>
    <x v="2"/>
    <n v="5"/>
    <n v="1"/>
  </r>
  <r>
    <n v="120"/>
    <x v="0"/>
    <x v="0"/>
    <s v="Sagar General Store"/>
    <s v="N/A"/>
    <s v="N/A"/>
    <s v="N/A"/>
    <s v="N/A"/>
    <n v="8808042916"/>
    <s v="https://maps.app.goo.gl/51RHJ8f66GdxhXgs9"/>
    <x v="2"/>
    <n v="4.4000000000000004"/>
    <n v="34"/>
  </r>
  <r>
    <n v="121"/>
    <x v="0"/>
    <x v="0"/>
    <s v="Maa Santoshi D Store"/>
    <s v="N/A"/>
    <s v="N/A"/>
    <s v="N/A"/>
    <s v="N/A"/>
    <n v="9369233881"/>
    <s v="https://maps.app.goo.gl/TvqHZpg1UKcyHJyA8"/>
    <x v="2"/>
    <n v="4.8"/>
    <n v="140"/>
  </r>
  <r>
    <n v="122"/>
    <x v="0"/>
    <x v="0"/>
    <s v="Daily Shopee"/>
    <s v="N/A"/>
    <s v="N/A"/>
    <s v="N/A"/>
    <s v="N/A"/>
    <n v="7408423070"/>
    <s v="https://maps.app.goo.gl/KDa9JrLdtwsTVVvUA"/>
    <x v="2"/>
    <n v="4.3"/>
    <n v="636"/>
  </r>
  <r>
    <n v="123"/>
    <x v="0"/>
    <x v="0"/>
    <s v="Naman general store"/>
    <s v="N/A"/>
    <s v="N/A"/>
    <s v="N/A"/>
    <s v="N/A"/>
    <n v="8467889406"/>
    <s v="https://maps.app.goo.gl/foFGV417Wxnueri59"/>
    <x v="2"/>
    <n v="5"/>
    <n v="5"/>
  </r>
  <r>
    <n v="124"/>
    <x v="0"/>
    <x v="0"/>
    <s v="S.General Store"/>
    <s v="N/A"/>
    <s v="N/A"/>
    <s v="N/A"/>
    <s v="N/A"/>
    <n v="9935565591"/>
    <s v="https://maps.app.goo.gl/GsQSibh1jXJxbPCw6"/>
    <x v="2"/>
    <n v="4.0999999999999996"/>
    <n v="12"/>
  </r>
  <r>
    <n v="125"/>
    <x v="0"/>
    <x v="0"/>
    <s v="Kapoor general store"/>
    <s v="N/A"/>
    <s v="N/A"/>
    <s v="N/A"/>
    <s v="N/A"/>
    <n v="9580521078"/>
    <s v="https://maps.app.goo.gl/U59zpX9GZZAB3h3j8"/>
    <x v="2"/>
    <n v="5"/>
    <n v="6"/>
  </r>
  <r>
    <n v="126"/>
    <x v="0"/>
    <x v="0"/>
    <s v="General Store"/>
    <s v="N/A"/>
    <s v="N/A"/>
    <s v="N/A"/>
    <s v="N/A"/>
    <n v="7905648432"/>
    <s v="https://maps.app.goo.gl/R1Hie8yW7bZTTdHK8"/>
    <x v="2"/>
    <n v="5"/>
    <n v="2"/>
  </r>
  <r>
    <n v="127"/>
    <x v="0"/>
    <x v="0"/>
    <s v="Devanshi General Store"/>
    <s v="N/A"/>
    <s v="N/A"/>
    <s v="N/A"/>
    <s v="N/A"/>
    <n v="8574230207"/>
    <s v="https://maps.app.goo.gl/pKHeNasBhVmKR33PA"/>
    <x v="2"/>
    <n v="5"/>
    <n v="4"/>
  </r>
  <r>
    <n v="128"/>
    <x v="0"/>
    <x v="0"/>
    <s v="Jai Shri General Store"/>
    <s v="N/A"/>
    <s v="N/A"/>
    <s v="N/A"/>
    <s v="N/A"/>
    <n v="6392201178"/>
    <s v="https://maps.app.goo.gl/tUn82nLchDJ9PnCh9"/>
    <x v="2"/>
    <n v="5"/>
    <n v="2"/>
  </r>
  <r>
    <n v="129"/>
    <x v="1"/>
    <x v="1"/>
    <s v="UNI 28"/>
    <s v="N/A"/>
    <s v="N/A"/>
    <s v="N/A"/>
    <s v="N/A"/>
    <n v="13476009073"/>
    <s v="https://maps.app.goo.gl/qn6M7nXQ3LdAEt497"/>
    <x v="7"/>
    <n v="4.5999999999999996"/>
    <n v="19"/>
  </r>
  <r>
    <n v="130"/>
    <x v="1"/>
    <x v="1"/>
    <s v="Yùnhóng Chopsticks"/>
    <s v="N/A"/>
    <s v="N/A"/>
    <s v="N/A"/>
    <s v="N/A"/>
    <n v="12122330288"/>
    <s v="https://maps.app.goo.gl/fjioowMvrDhzPpEu7"/>
    <x v="7"/>
    <n v="4.5999999999999996"/>
    <n v="121"/>
  </r>
  <r>
    <n v="131"/>
    <x v="1"/>
    <x v="1"/>
    <s v="Zee Smoke &amp; Convenience inc"/>
    <s v="N/A"/>
    <s v="N/A"/>
    <s v="N/A"/>
    <s v="N/A"/>
    <n v="16468959312"/>
    <s v="https://maps.app.goo.gl/C9cdn77fWRqoD29r7"/>
    <x v="2"/>
    <n v="4"/>
    <n v="42"/>
  </r>
  <r>
    <n v="132"/>
    <x v="1"/>
    <x v="1"/>
    <s v="Shopping Girlfriend NYC"/>
    <s v="N/A"/>
    <s v="N/A"/>
    <s v="N/A"/>
    <s v="N/A"/>
    <n v="19178252564"/>
    <s v="https://maps.app.goo.gl/3Z7y8Fhcr4AjuDnd8"/>
    <x v="0"/>
    <n v="5"/>
    <n v="5"/>
  </r>
  <r>
    <n v="133"/>
    <x v="1"/>
    <x v="1"/>
    <s v="Yamadaya"/>
    <s v="N/A"/>
    <s v="N/A"/>
    <s v="N/A"/>
    <s v="N/A"/>
    <n v="16466092199"/>
    <s v="https://maps.app.goo.gl/c87esYVzxAdXofpD9"/>
    <x v="1"/>
    <n v="4.8"/>
    <n v="250"/>
  </r>
  <r>
    <n v="134"/>
    <x v="0"/>
    <x v="0"/>
    <s v="VR UNISEX SALON"/>
    <s v="N/A"/>
    <s v="N/A"/>
    <s v="N/A"/>
    <s v="N/A"/>
    <n v="9721000839"/>
    <s v="https://maps.app.goo.gl/7bG729yFDy8Dquzv5"/>
    <x v="0"/>
    <n v="4.9000000000000004"/>
    <n v="504"/>
  </r>
  <r>
    <n v="135"/>
    <x v="0"/>
    <x v="0"/>
    <s v="The London"/>
    <s v="N/A"/>
    <s v="N/A"/>
    <s v="N/A"/>
    <s v="N/A"/>
    <n v="8885762957"/>
    <s v="https://maps.app.goo.gl/LnWJe9qFZrGnZbAm7"/>
    <x v="0"/>
    <n v="4.8"/>
    <n v="66"/>
  </r>
  <r>
    <n v="136"/>
    <x v="0"/>
    <x v="0"/>
    <s v="Xatisfy Men Salon"/>
    <s v="N/A"/>
    <s v="N/A"/>
    <s v="N/A"/>
    <s v="N/A"/>
    <n v="9120169074"/>
    <s v="https://maps.app.goo.gl/oJ2mcdd7aV6b9UBPA"/>
    <x v="0"/>
    <n v="4.9000000000000004"/>
    <n v="313"/>
  </r>
  <r>
    <n v="137"/>
    <x v="0"/>
    <x v="0"/>
    <s v="The Invite Unisex Salon"/>
    <s v="N/A"/>
    <s v="N/A"/>
    <s v="N/A"/>
    <s v="N/A"/>
    <n v="7860314702"/>
    <s v="https://maps.app.goo.gl/6mGD57hiS71bpX9u9"/>
    <x v="0"/>
    <n v="4.9000000000000004"/>
    <n v="192"/>
  </r>
  <r>
    <n v="138"/>
    <x v="0"/>
    <x v="0"/>
    <s v="Super Style Salon"/>
    <s v="N/A"/>
    <s v="N/A"/>
    <s v="N/A"/>
    <s v="N/A"/>
    <n v="8707208110"/>
    <s v="https://maps.app.goo.gl/5HboY2v6uKWC16y29"/>
    <x v="0"/>
    <n v="4.9000000000000004"/>
    <n v="121"/>
  </r>
  <r>
    <n v="139"/>
    <x v="0"/>
    <x v="0"/>
    <s v="Infinity Salon Lucknow"/>
    <s v="N/A"/>
    <s v="N/A"/>
    <s v="N/A"/>
    <s v="N/A"/>
    <n v="9140942123"/>
    <s v="https://maps.app.goo.gl/gBe6YrL7SGCF318m8"/>
    <x v="0"/>
    <n v="4.5"/>
    <n v="552"/>
  </r>
  <r>
    <n v="140"/>
    <x v="0"/>
    <x v="0"/>
    <s v="The client chair beauty salon"/>
    <s v="N/A"/>
    <s v="N/A"/>
    <s v="N/A"/>
    <s v="N/A"/>
    <n v="9696294296"/>
    <s v="https://maps.app.goo.gl/XgTYdaGrEx6fqsAu7"/>
    <x v="0"/>
    <n v="4.9000000000000004"/>
    <n v="66"/>
  </r>
  <r>
    <n v="141"/>
    <x v="0"/>
    <x v="0"/>
    <s v="Get Beauty Salon"/>
    <s v="N/A"/>
    <s v="N/A"/>
    <s v="N/A"/>
    <s v="N/A"/>
    <n v="6394333919"/>
    <s v="https://maps.app.goo.gl/97BiekZKyXQzMJJi7"/>
    <x v="0"/>
    <n v="4.7"/>
    <n v="81"/>
  </r>
  <r>
    <n v="142"/>
    <x v="0"/>
    <x v="0"/>
    <s v="Your salon office"/>
    <s v="N/A"/>
    <s v="N/A"/>
    <s v="N/A"/>
    <s v="N/A"/>
    <n v="9140510184"/>
    <s v="https://maps.app.goo.gl/mKBQkSiMZdwSUpW86"/>
    <x v="0"/>
    <n v="5"/>
    <n v="29"/>
  </r>
  <r>
    <n v="143"/>
    <x v="0"/>
    <x v="0"/>
    <s v="Glow N Glam"/>
    <s v="N/A"/>
    <s v="N/A"/>
    <s v="N/A"/>
    <s v="N/A"/>
    <n v="9919736852"/>
    <s v="https://maps.app.goo.gl/hbAMYBHfA6r6Fkr46"/>
    <x v="0"/>
    <n v="4.5999999999999996"/>
    <n v="221"/>
  </r>
  <r>
    <n v="144"/>
    <x v="0"/>
    <x v="0"/>
    <s v="Smriti Makeovers &amp; Salon"/>
    <s v="N/A"/>
    <s v="N/A"/>
    <s v="N/A"/>
    <s v="N/A"/>
    <n v="9005379640"/>
    <s v="https://maps.app.goo.gl/Niebe8kvJMLAUbya6"/>
    <x v="0"/>
    <n v="5"/>
    <n v="81"/>
  </r>
  <r>
    <n v="145"/>
    <x v="0"/>
    <x v="0"/>
    <s v="Salon De Beaute"/>
    <s v="N/A"/>
    <s v="N/A"/>
    <s v="N/A"/>
    <s v="N/A"/>
    <n v="7499413643"/>
    <s v="https://maps.app.goo.gl/W18Kd3H9ZbDch8DJ9"/>
    <x v="0"/>
    <n v="4.9000000000000004"/>
    <n v="101"/>
  </r>
  <r>
    <n v="146"/>
    <x v="0"/>
    <x v="0"/>
    <s v="Noor Men's salon"/>
    <s v="N/A"/>
    <s v="N/A"/>
    <s v="N/A"/>
    <s v="N/A"/>
    <n v="9807193717"/>
    <s v="https://maps.app.goo.gl/9ihRAdderwHhXkdUA"/>
    <x v="0"/>
    <n v="4.8"/>
    <n v="216"/>
  </r>
  <r>
    <n v="147"/>
    <x v="0"/>
    <x v="0"/>
    <s v="Mini Bridal Studio"/>
    <s v="N/A"/>
    <s v="N/A"/>
    <s v="N/A"/>
    <s v="N/A"/>
    <n v="6392777848"/>
    <s v="https://maps.app.goo.gl/yAJGLpJPNnbgrrih9"/>
    <x v="0"/>
    <n v="4.4000000000000004"/>
    <n v="16"/>
  </r>
  <r>
    <n v="148"/>
    <x v="0"/>
    <x v="0"/>
    <s v="B4 party salon"/>
    <s v="N/A"/>
    <s v="N/A"/>
    <s v="N/A"/>
    <s v="N/A"/>
    <n v="9839660706"/>
    <s v="https://maps.app.goo.gl/ds9YAhWiKtyVKb689"/>
    <x v="0"/>
    <n v="4.9000000000000004"/>
    <n v="99"/>
  </r>
  <r>
    <n v="149"/>
    <x v="1"/>
    <x v="1"/>
    <s v="S &amp; N Discount Inc"/>
    <s v="N/A"/>
    <s v="N/A"/>
    <s v="N/A"/>
    <s v="N/A"/>
    <n v="12127222680"/>
    <s v="https://maps.app.goo.gl/EZMfZrvHzmT3FK1m6"/>
    <x v="2"/>
    <n v="4.3"/>
    <n v="114"/>
  </r>
  <r>
    <n v="150"/>
    <x v="1"/>
    <x v="1"/>
    <s v="NYC Wine Merchants"/>
    <s v="N/A"/>
    <s v="N/A"/>
    <s v="N/A"/>
    <s v="N/A"/>
    <n v="12124144300"/>
    <s v="https://maps.app.goo.gl/CqEbtZhV8y1mQKqy7"/>
    <x v="8"/>
    <n v="3.7"/>
    <n v="38"/>
  </r>
  <r>
    <n v="151"/>
    <x v="1"/>
    <x v="1"/>
    <s v="The Manhattan Wine Shop"/>
    <s v="N/A"/>
    <s v="N/A"/>
    <s v="N/A"/>
    <s v="N/A"/>
    <n v="12122219463"/>
    <s v="https://maps.app.goo.gl/gvheLsQEEs1UjpW18"/>
    <x v="8"/>
    <n v="4.0999999999999996"/>
    <n v="160"/>
  </r>
  <r>
    <n v="152"/>
    <x v="1"/>
    <x v="1"/>
    <s v="The Wine Shop"/>
    <s v="N/A"/>
    <s v="N/A"/>
    <s v="N/A"/>
    <s v="N/A"/>
    <n v="12126855151"/>
    <s v="https://maps.app.goo.gl/7pUYT7tWqhG7QUs86"/>
    <x v="8"/>
    <n v="4.0999999999999996"/>
    <n v="45"/>
  </r>
  <r>
    <n v="153"/>
    <x v="1"/>
    <x v="1"/>
    <s v="Chelsea Wine Cellar Inc"/>
    <s v="N/A"/>
    <s v="N/A"/>
    <s v="N/A"/>
    <s v="N/A"/>
    <n v="12126751813"/>
    <s v="https://maps.app.goo.gl/pufYMAVjBvWetAGu8"/>
    <x v="8"/>
    <n v="4.5"/>
    <n v="65"/>
  </r>
  <r>
    <n v="154"/>
    <x v="0"/>
    <x v="0"/>
    <s v="Krishna general store"/>
    <s v="N/A"/>
    <s v="N/A"/>
    <s v="N/A"/>
    <s v="N/A"/>
    <n v="6393973428"/>
    <s v="https://maps.app.goo.gl/FvcNQMJSpgww2Hv7A"/>
    <x v="2"/>
    <n v="5"/>
    <n v="4"/>
  </r>
  <r>
    <n v="155"/>
    <x v="0"/>
    <x v="0"/>
    <s v="Goel General Store"/>
    <s v="N/A"/>
    <s v="N/A"/>
    <s v="N/A"/>
    <s v="N/A"/>
    <n v="9450110621"/>
    <s v="https://maps.app.goo.gl/xBF6RpzPfLdQwkNF8"/>
    <x v="2"/>
    <n v="5"/>
    <n v="1"/>
  </r>
  <r>
    <n v="156"/>
    <x v="0"/>
    <x v="0"/>
    <s v="Chaurasia General Store"/>
    <s v="N/A"/>
    <s v="N/A"/>
    <s v="N/A"/>
    <s v="N/A"/>
    <n v="8564888944"/>
    <s v="https://maps.app.goo.gl/pqDpSkanN4e7VC788"/>
    <x v="2"/>
    <n v="4"/>
    <n v="18"/>
  </r>
  <r>
    <n v="157"/>
    <x v="0"/>
    <x v="0"/>
    <s v="Shivansh General Store"/>
    <s v="N/A"/>
    <s v="N/A"/>
    <s v="N/A"/>
    <s v="N/A"/>
    <n v="8565902920"/>
    <s v="https://maps.app.goo.gl/S8HFw67fa7vecWFX8"/>
    <x v="2"/>
    <n v="3.8"/>
    <n v="51"/>
  </r>
  <r>
    <n v="158"/>
    <x v="0"/>
    <x v="0"/>
    <s v="Shree Ji General Store"/>
    <s v="N/A"/>
    <s v="N/A"/>
    <s v="N/A"/>
    <s v="N/A"/>
    <n v="9659533423"/>
    <s v="https://maps.app.goo.gl/WH6FUWkJgH31Wt3v5"/>
    <x v="2"/>
    <n v="5"/>
    <n v="1"/>
  </r>
  <r>
    <n v="159"/>
    <x v="0"/>
    <x v="0"/>
    <s v="SIDDHARTH GENERAL STORE"/>
    <s v="N/A"/>
    <s v="N/A"/>
    <s v="N/A"/>
    <s v="N/A"/>
    <n v="8565065134"/>
    <s v="https://maps.app.goo.gl/HFJ5HuYiQwcynV218"/>
    <x v="2"/>
    <n v="4.9000000000000004"/>
    <n v="24"/>
  </r>
  <r>
    <n v="160"/>
    <x v="0"/>
    <x v="0"/>
    <s v="General Store"/>
    <s v="N/A"/>
    <s v="N/A"/>
    <s v="N/A"/>
    <s v="N/A"/>
    <n v="9415577246"/>
    <s v="https://maps.app.goo.gl/8MSaPeXj9U9Nv9z2A"/>
    <x v="2"/>
    <n v="4.3"/>
    <n v="15"/>
  </r>
  <r>
    <n v="161"/>
    <x v="0"/>
    <x v="0"/>
    <s v="R.S General Store"/>
    <s v="N/A"/>
    <s v="N/A"/>
    <s v="N/A"/>
    <s v="N/A"/>
    <n v="9305265921"/>
    <s v="https://maps.app.goo.gl/KBGUaph3xW5YxFxL9"/>
    <x v="2"/>
    <n v="5"/>
    <n v="4"/>
  </r>
  <r>
    <n v="162"/>
    <x v="0"/>
    <x v="0"/>
    <s v="Anand General Store (lala ji ki dukan )"/>
    <s v="N/A"/>
    <s v="N/A"/>
    <s v="N/A"/>
    <s v="N/A"/>
    <n v="9453836171"/>
    <s v="https://maps.app.goo.gl/wrzSq3AgwqTW5VXc8"/>
    <x v="2"/>
    <n v="4.8"/>
    <n v="5"/>
  </r>
  <r>
    <n v="163"/>
    <x v="0"/>
    <x v="0"/>
    <s v="Kapoor General Store"/>
    <s v="N/A"/>
    <s v="N/A"/>
    <s v="N/A"/>
    <s v="N/A"/>
    <n v="9795518366"/>
    <s v="https://maps.app.goo.gl/efghyper893HRvwb7"/>
    <x v="2"/>
    <n v="5"/>
    <n v="2"/>
  </r>
  <r>
    <n v="164"/>
    <x v="0"/>
    <x v="0"/>
    <s v="Ma Vaishno General Store"/>
    <s v="N/A"/>
    <s v="N/A"/>
    <s v="N/A"/>
    <s v="N/A"/>
    <n v="9198038319"/>
    <s v="https://maps.app.goo.gl/Y4WVcF48CYPsvNMP8"/>
    <x v="2"/>
    <n v="4.4000000000000004"/>
    <n v="31"/>
  </r>
  <r>
    <n v="165"/>
    <x v="0"/>
    <x v="0"/>
    <s v="R.K Kashyap General Store"/>
    <s v="N/A"/>
    <s v="N/A"/>
    <s v="N/A"/>
    <s v="N/A"/>
    <n v="9555133345"/>
    <s v="https://maps.app.goo.gl/QR4cqRFLmMY3ok516"/>
    <x v="2"/>
    <n v="4.4000000000000004"/>
    <n v="7"/>
  </r>
  <r>
    <n v="166"/>
    <x v="0"/>
    <x v="0"/>
    <s v="Milan A Speciality Restaurant"/>
    <s v="N/A"/>
    <s v="N/A"/>
    <s v="N/A"/>
    <s v="N/A"/>
    <n v="9936888000"/>
    <s v="https://maps.app.goo.gl/RqgTZN6mZo8AcgBh8"/>
    <x v="2"/>
    <n v="4.8"/>
    <n v="16173"/>
  </r>
  <r>
    <n v="167"/>
    <x v="0"/>
    <x v="0"/>
    <s v="Wish Your Dish Multi Cuisine Restaurant"/>
    <s v="N/A"/>
    <s v="N/A"/>
    <s v="N/A"/>
    <s v="N/A"/>
    <n v="8874888805"/>
    <s v="https://maps.app.goo.gl/4V4y8rLYVxZghnY28"/>
    <x v="9"/>
    <n v="4.5"/>
    <n v="1092"/>
  </r>
  <r>
    <n v="168"/>
    <x v="0"/>
    <x v="0"/>
    <s v="The House 21 | Arabian Restaurant | Chowk | Lucknow"/>
    <s v="N/A"/>
    <s v="N/A"/>
    <s v="N/A"/>
    <s v="N/A"/>
    <n v="9919990331"/>
    <s v="https://maps.app.goo.gl/1Ppd8cV3b4Fm1p1E9"/>
    <x v="9"/>
    <n v="4.3"/>
    <n v="517"/>
  </r>
  <r>
    <n v="169"/>
    <x v="0"/>
    <x v="0"/>
    <s v="Mantar Restaurant - Lucknow"/>
    <s v="N/A"/>
    <s v="N/A"/>
    <s v="N/A"/>
    <s v="N/A"/>
    <n v="8400399594"/>
    <s v="https://maps.app.goo.gl/7mbsUxP3eY37PbU96"/>
    <x v="9"/>
    <n v="4.7"/>
    <n v="709"/>
  </r>
  <r>
    <n v="170"/>
    <x v="1"/>
    <x v="1"/>
    <s v="Windsor Wine Shop"/>
    <s v="N/A"/>
    <s v="N/A"/>
    <s v="N/A"/>
    <s v="N/A"/>
    <n v="12127794422"/>
    <s v="https://maps.app.goo.gl/hryoHK2H3qz26dN98"/>
    <x v="8"/>
    <n v="4.5999999999999996"/>
    <n v="66"/>
  </r>
  <r>
    <n v="171"/>
    <x v="1"/>
    <x v="1"/>
    <s v="BARRELMORE WINE &amp; SPIRITS"/>
    <s v="N/A"/>
    <s v="N/A"/>
    <s v="N/A"/>
    <s v="N/A"/>
    <n v="12126436789"/>
    <s v="https://maps.app.goo.gl/6t8Q4o9LR9EZcAv56"/>
    <x v="8"/>
    <n v="4"/>
    <n v="135"/>
  </r>
  <r>
    <n v="172"/>
    <x v="1"/>
    <x v="1"/>
    <s v="Mark's Wine &amp; Spirits Inc."/>
    <s v="N/A"/>
    <s v="N/A"/>
    <s v="N/A"/>
    <s v="N/A"/>
    <n v="12129621993"/>
    <s v="https://maps.app.goo.gl/m4U7G5LYLi2P63wk6"/>
    <x v="8"/>
    <n v="4.0999999999999996"/>
    <n v="80"/>
  </r>
  <r>
    <n v="173"/>
    <x v="1"/>
    <x v="1"/>
    <s v="Spring Street Wine Shop"/>
    <s v="N/A"/>
    <s v="N/A"/>
    <s v="N/A"/>
    <s v="N/A"/>
    <n v="12122190521"/>
    <s v="https://maps.app.goo.gl/zXnWuSi8BLvvwbbLA"/>
    <x v="8"/>
    <n v="3.7"/>
    <n v="28"/>
  </r>
  <r>
    <n v="174"/>
    <x v="1"/>
    <x v="1"/>
    <s v="Vintage On Second (Wine and Liquor Store)"/>
    <s v="N/A"/>
    <s v="N/A"/>
    <s v="N/A"/>
    <s v="N/A"/>
    <n v="12128288839"/>
    <s v="https://maps.app.goo.gl/bBcQbMqHTxLoyGnH6"/>
    <x v="8"/>
    <n v="4.5"/>
    <n v="56"/>
  </r>
  <r>
    <n v="175"/>
    <x v="0"/>
    <x v="0"/>
    <s v="Mantar Restaurant - Lucknow"/>
    <s v="N/A"/>
    <s v="N/A"/>
    <s v="N/A"/>
    <s v="N/A"/>
    <n v="8400399594"/>
    <s v="https://maps.app.goo.gl/7mbsUxP3eY37PbU96"/>
    <x v="9"/>
    <n v="4.7"/>
    <n v="709"/>
  </r>
  <r>
    <n v="176"/>
    <x v="0"/>
    <x v="0"/>
    <s v="The House 21 | Arabian Restaurant in Lucknow"/>
    <s v="N/A"/>
    <s v="N/A"/>
    <s v="N/A"/>
    <s v="N/A"/>
    <n v="9919990331"/>
    <s v="https://maps.app.goo.gl/2nCBY6bBpLvegbVt5"/>
    <x v="9"/>
    <n v="4.3"/>
    <n v="517"/>
  </r>
  <r>
    <n v="177"/>
    <x v="0"/>
    <x v="0"/>
    <s v="City Restaurant | Best Restaurant in Lucknow"/>
    <s v="N/A"/>
    <s v="N/A"/>
    <s v="N/A"/>
    <s v="N/A"/>
    <n v="9454363252"/>
    <s v="https://maps.app.goo.gl/ichyDJ2jqgMKHX2Z6"/>
    <x v="9"/>
    <n v="4.7"/>
    <n v="84"/>
  </r>
  <r>
    <n v="178"/>
    <x v="0"/>
    <x v="0"/>
    <s v="The Mughal's Dastarkhwan"/>
    <s v="N/A"/>
    <s v="N/A"/>
    <s v="N/A"/>
    <s v="N/A"/>
    <n v="5224044777"/>
    <s v="https://maps.app.goo.gl/6Ma2ruogEqvcwHsb7"/>
    <x v="9"/>
    <n v="4.2"/>
    <n v="11214"/>
  </r>
  <r>
    <n v="179"/>
    <x v="0"/>
    <x v="0"/>
    <s v="Moti Mahal Restaurant"/>
    <s v="N/A"/>
    <s v="N/A"/>
    <s v="N/A"/>
    <s v="N/A"/>
    <n v="5224048101"/>
    <s v="https://maps.app.goo.gl/NeEvbTGDCA55QnT29"/>
    <x v="9"/>
    <n v="4.2"/>
    <n v="16289"/>
  </r>
  <r>
    <n v="180"/>
    <x v="0"/>
    <x v="0"/>
    <s v="The Pacific Hut - Family Restaurants in Lucknow"/>
    <s v="N/A"/>
    <s v="N/A"/>
    <s v="N/A"/>
    <s v="N/A"/>
    <n v="8318849521"/>
    <s v="https://maps.app.goo.gl/gq8Jk46RXMJR37Kt5"/>
    <x v="9"/>
    <n v="4"/>
    <n v="625"/>
  </r>
  <r>
    <n v="181"/>
    <x v="0"/>
    <x v="0"/>
    <s v="Royal Sky"/>
    <s v="N/A"/>
    <s v="N/A"/>
    <s v="N/A"/>
    <s v="N/A"/>
    <n v="9839023902"/>
    <s v="https://maps.app.goo.gl/Nauro52Ep9Ksx6P48"/>
    <x v="9"/>
    <n v="4.2"/>
    <n v="6398"/>
  </r>
  <r>
    <n v="182"/>
    <x v="0"/>
    <x v="0"/>
    <s v="Hons - All day Dining"/>
    <s v="N/A"/>
    <s v="N/A"/>
    <s v="N/A"/>
    <s v="N/A"/>
    <n v="9839397979"/>
    <s v="https://maps.app.goo.gl/QWTrvUPPMqTB1SMq6"/>
    <x v="9"/>
    <n v="4.4000000000000004"/>
    <n v="2252"/>
  </r>
  <r>
    <n v="183"/>
    <x v="0"/>
    <x v="0"/>
    <s v="Dine Out City (DOC)"/>
    <s v="N/A"/>
    <s v="N/A"/>
    <s v="N/A"/>
    <s v="N/A"/>
    <n v="6392502020"/>
    <s v="https://maps.app.goo.gl/F9FsoccepN8fxVSG7"/>
    <x v="9"/>
    <n v="4.3"/>
    <n v="322"/>
  </r>
  <r>
    <n v="184"/>
    <x v="0"/>
    <x v="0"/>
    <s v="The Terrace"/>
    <s v="N/A"/>
    <s v="N/A"/>
    <s v="N/A"/>
    <s v="N/A"/>
    <n v="9936438000"/>
    <s v="https://maps.app.goo.gl/AnMjBgcs5yf8a5RB9"/>
    <x v="9"/>
    <n v="4.0999999999999996"/>
    <n v="9553"/>
  </r>
  <r>
    <n v="185"/>
    <x v="0"/>
    <x v="0"/>
    <s v="Bagicha - By Dayal Bagh"/>
    <s v="N/A"/>
    <s v="N/A"/>
    <s v="N/A"/>
    <s v="N/A"/>
    <n v="9005770888"/>
    <s v="https://maps.app.goo.gl/CSzVstPSDNLdCmwQ6"/>
    <x v="9"/>
    <n v="4.3"/>
    <n v="1291"/>
  </r>
  <r>
    <n v="186"/>
    <x v="0"/>
    <x v="0"/>
    <s v="SMALL PARTY WALE"/>
    <s v="N/A"/>
    <s v="N/A"/>
    <s v="N/A"/>
    <s v="N/A"/>
    <n v="7800780040"/>
    <s v="https://maps.app.goo.gl/QAZHK8YLJpUk5GsF6"/>
    <x v="9"/>
    <n v="4.8"/>
    <n v="10"/>
  </r>
  <r>
    <n v="187"/>
    <x v="0"/>
    <x v="0"/>
    <s v="The Fresh Factory"/>
    <s v="N/A"/>
    <s v="N/A"/>
    <s v="N/A"/>
    <s v="N/A"/>
    <n v="8957331424"/>
    <s v="https://maps.app.goo.gl/tzP5a1PJ4xaizEjB9"/>
    <x v="9"/>
    <n v="4.3"/>
    <n v="1101"/>
  </r>
  <r>
    <n v="188"/>
    <x v="0"/>
    <x v="0"/>
    <s v="Free Spirit"/>
    <s v="N/A"/>
    <s v="N/A"/>
    <s v="N/A"/>
    <s v="N/A"/>
    <n v="8175956711"/>
    <s v="https://maps.app.goo.gl/WAGF3raXgK14D5PK8"/>
    <x v="9"/>
    <n v="4.3"/>
    <n v="1558"/>
  </r>
  <r>
    <n v="189"/>
    <x v="0"/>
    <x v="0"/>
    <s v="Best Choice Of Awadh"/>
    <s v="N/A"/>
    <s v="N/A"/>
    <s v="N/A"/>
    <s v="N/A"/>
    <n v="7235811114"/>
    <s v="https://maps.app.goo.gl/EHNcf8pSUF7o2WJY6"/>
    <x v="9"/>
    <n v="4.2"/>
    <n v="919"/>
  </r>
  <r>
    <n v="190"/>
    <x v="1"/>
    <x v="1"/>
    <s v="New York Clothing Store"/>
    <s v="N/A"/>
    <s v="N/A"/>
    <s v="N/A"/>
    <s v="N/A"/>
    <n v="15486006980"/>
    <s v="https://maps.app.goo.gl/kibj2N54D31TJUHk6"/>
    <x v="10"/>
    <n v="0"/>
    <n v="0"/>
  </r>
  <r>
    <n v="191"/>
    <x v="1"/>
    <x v="1"/>
    <s v="59 Bayard Market"/>
    <s v="N/A"/>
    <s v="N/A"/>
    <s v="N/A"/>
    <s v="N/A"/>
    <n v="12126088866"/>
    <s v="https://maps.app.goo.gl/areTEFdno8VPnn5V7"/>
    <x v="1"/>
    <n v="4.5999999999999996"/>
    <n v="17"/>
  </r>
  <r>
    <n v="192"/>
    <x v="1"/>
    <x v="1"/>
    <s v="Chinatown Building Supply Inc"/>
    <s v="N/A"/>
    <s v="N/A"/>
    <s v="N/A"/>
    <s v="N/A"/>
    <n v="12124310099"/>
    <s v="https://maps.app.goo.gl/wDicK1asnHRc2XUy6"/>
    <x v="11"/>
    <n v="4.7"/>
    <n v="80"/>
  </r>
  <r>
    <n v="193"/>
    <x v="1"/>
    <x v="1"/>
    <s v="Chelsea Wine Cellar Inc"/>
    <s v="N/A"/>
    <s v="N/A"/>
    <s v="N/A"/>
    <s v="N/A"/>
    <n v="12126751813"/>
    <s v="https://maps.app.goo.gl/KkTMDF1kW1nyHHxz5"/>
    <x v="8"/>
    <n v="4.5"/>
    <n v="65"/>
  </r>
  <r>
    <n v="194"/>
    <x v="1"/>
    <x v="1"/>
    <s v="Hermès Meatpacking"/>
    <s v="N/A"/>
    <s v="N/A"/>
    <s v="N/A"/>
    <s v="N/A"/>
    <n v="12122571600"/>
    <s v="https://maps.app.goo.gl/Q8MgC11NoCLoAHqA9"/>
    <x v="10"/>
    <n v="3.5"/>
    <n v="264"/>
  </r>
  <r>
    <n v="195"/>
    <x v="0"/>
    <x v="0"/>
    <s v="The Marigold- Fine Dine Restaurant"/>
    <s v="N/A"/>
    <s v="N/A"/>
    <s v="N/A"/>
    <s v="N/A"/>
    <n v="5224113801"/>
    <s v="https://maps.app.goo.gl/ktUJrggvkBAWFapg8"/>
    <x v="9"/>
    <n v="3.9"/>
    <n v="1270"/>
  </r>
  <r>
    <n v="196"/>
    <x v="0"/>
    <x v="0"/>
    <s v="Royal Rangoli Restaurant"/>
    <s v="N/A"/>
    <s v="N/A"/>
    <s v="N/A"/>
    <s v="N/A"/>
    <n v="7318254638"/>
    <s v="https://maps.app.goo.gl/XbboprSC6sEMmY9z5"/>
    <x v="9"/>
    <n v="4.4000000000000004"/>
    <n v="869"/>
  </r>
  <r>
    <n v="197"/>
    <x v="0"/>
    <x v="0"/>
    <s v="Barkaas Indo-Arabic Restaurant"/>
    <s v="N/A"/>
    <s v="N/A"/>
    <s v="N/A"/>
    <s v="N/A"/>
    <n v="9115005777"/>
    <s v="https://maps.app.goo.gl/BpTbqEr4B6ZvmakJ8"/>
    <x v="9"/>
    <n v="4.5"/>
    <n v="5092"/>
  </r>
  <r>
    <n v="198"/>
    <x v="0"/>
    <x v="0"/>
    <s v="FalakNuma Restaurant"/>
    <s v="N/A"/>
    <s v="N/A"/>
    <s v="N/A"/>
    <s v="N/A"/>
    <n v="5222620131"/>
    <s v="https://maps.app.goo.gl/mWViUJKs8Bf5pKFr9"/>
    <x v="9"/>
    <n v="4"/>
    <n v="723"/>
  </r>
  <r>
    <n v="199"/>
    <x v="0"/>
    <x v="0"/>
    <s v="The Centurion"/>
    <s v="N/A"/>
    <s v="N/A"/>
    <s v="N/A"/>
    <s v="N/A"/>
    <n v="9119603535"/>
    <s v="https://maps.app.goo.gl/RLRHGDCR8E5Myrz76"/>
    <x v="9"/>
    <n v="4.0999999999999996"/>
    <n v="1690"/>
  </r>
  <r>
    <n v="200"/>
    <x v="0"/>
    <x v="0"/>
    <s v="Lucknow Cakes"/>
    <s v="N/A"/>
    <s v="N/A"/>
    <s v="N/A"/>
    <s v="N/A"/>
    <n v="9793115487"/>
    <s v="https://maps.app.goo.gl/yqC2wGJt7YZoQYPG7"/>
    <x v="5"/>
    <n v="4.2"/>
    <n v="245"/>
  </r>
  <r>
    <n v="201"/>
    <x v="0"/>
    <x v="0"/>
    <s v="Globe Baker's &amp; Cafe"/>
    <s v="N/A"/>
    <s v="N/A"/>
    <s v="N/A"/>
    <s v="N/A"/>
    <n v="8318527077"/>
    <s v="https://maps.app.goo.gl/MrfAvdVwLDPzqM3t5"/>
    <x v="5"/>
    <n v="4.4000000000000004"/>
    <n v="631"/>
  </r>
  <r>
    <n v="202"/>
    <x v="0"/>
    <x v="0"/>
    <s v="Good Bakery"/>
    <s v="N/A"/>
    <s v="N/A"/>
    <s v="N/A"/>
    <s v="N/A"/>
    <n v="5224072223"/>
    <s v="https://maps.app.goo.gl/FyaY9fg4MYmzZF4TA"/>
    <x v="5"/>
    <n v="4.0999999999999996"/>
    <n v="910"/>
  </r>
  <r>
    <n v="203"/>
    <x v="0"/>
    <x v="0"/>
    <s v="Shama Bakery"/>
    <s v="N/A"/>
    <s v="N/A"/>
    <s v="N/A"/>
    <s v="N/A"/>
    <n v="8182875927"/>
    <s v="https://maps.app.goo.gl/mHpPAbdXaeDmFJn2A"/>
    <x v="5"/>
    <n v="4.2"/>
    <n v="825"/>
  </r>
  <r>
    <n v="204"/>
    <x v="0"/>
    <x v="0"/>
    <s v="JJ Bakers"/>
    <s v="N/A"/>
    <s v="N/A"/>
    <s v="N/A"/>
    <s v="N/A"/>
    <n v="9235555780"/>
    <s v="https://maps.app.goo.gl/APm1CMCv3BLGAWYJA"/>
    <x v="5"/>
    <n v="4"/>
    <n v="2175"/>
  </r>
  <r>
    <n v="205"/>
    <x v="0"/>
    <x v="0"/>
    <s v="New Brownie Bakery &amp; Confectionery"/>
    <s v="N/A"/>
    <s v="N/A"/>
    <s v="N/A"/>
    <s v="N/A"/>
    <n v="9559898355"/>
    <s v="https://maps.app.goo.gl/qH3XPDtRq4H8szHk8"/>
    <x v="5"/>
    <n v="4"/>
    <n v="36"/>
  </r>
  <r>
    <n v="206"/>
    <x v="0"/>
    <x v="0"/>
    <s v="Silver Spoon Bakers and Cafe (Aishbagh)"/>
    <s v="N/A"/>
    <s v="N/A"/>
    <s v="N/A"/>
    <s v="N/A"/>
    <n v="5224101530"/>
    <s v="https://maps.app.goo.gl/YJKk2YKHJMg8LVjB6"/>
    <x v="5"/>
    <n v="4.0999999999999996"/>
    <n v="1148"/>
  </r>
  <r>
    <n v="207"/>
    <x v="0"/>
    <x v="0"/>
    <s v="The Cherry Tree Cafe"/>
    <s v="N/A"/>
    <s v="N/A"/>
    <s v="N/A"/>
    <s v="N/A"/>
    <n v="7523868301"/>
    <s v="https://maps.app.goo.gl/UQLBrWnu4Xob1EEC8"/>
    <x v="5"/>
    <n v="4.4000000000000004"/>
    <n v="8497"/>
  </r>
  <r>
    <n v="208"/>
    <x v="0"/>
    <x v="0"/>
    <s v="Good Bakery Gomtinagar"/>
    <s v="N/A"/>
    <s v="N/A"/>
    <s v="N/A"/>
    <s v="N/A"/>
    <n v="9219906262"/>
    <s v="https://maps.app.goo.gl/r4f5MGbzJ4MMfCBaA"/>
    <x v="5"/>
    <n v="4.2"/>
    <n v="260"/>
  </r>
  <r>
    <n v="209"/>
    <x v="0"/>
    <x v="0"/>
    <s v="Durham Bakery"/>
    <s v="N/A"/>
    <s v="N/A"/>
    <s v="N/A"/>
    <s v="N/A"/>
    <n v="9565553111"/>
    <s v="https://maps.app.goo.gl/F3t4iiRuPTXcUGnUA"/>
    <x v="5"/>
    <n v="3.8"/>
    <n v="60"/>
  </r>
  <r>
    <n v="210"/>
    <x v="1"/>
    <x v="1"/>
    <s v="Windsor Wine Shop"/>
    <s v="N/A"/>
    <s v="N/A"/>
    <s v="N/A"/>
    <s v="N/A"/>
    <n v="12127794422"/>
    <s v="https://maps.app.goo.gl/hryoHK2H3qz26dN98"/>
    <x v="8"/>
    <n v="4.5999999999999996"/>
    <n v="66"/>
  </r>
  <r>
    <n v="211"/>
    <x v="1"/>
    <x v="1"/>
    <s v="BARRELMORE WINE &amp; SPIRITS"/>
    <s v="N/A"/>
    <s v="N/A"/>
    <s v="N/A"/>
    <s v="N/A"/>
    <n v="12126436789"/>
    <s v="https://maps.app.goo.gl/6t8Q4o9LR9EZcAv56"/>
    <x v="8"/>
    <n v="4"/>
    <n v="135"/>
  </r>
  <r>
    <n v="212"/>
    <x v="1"/>
    <x v="1"/>
    <s v="Mark's Wine &amp; Spirits Inc."/>
    <s v="N/A"/>
    <s v="N/A"/>
    <s v="N/A"/>
    <s v="N/A"/>
    <n v="12129621993"/>
    <s v="https://maps.app.goo.gl/m4U7G5LYLi2P63wk6"/>
    <x v="8"/>
    <n v="4.0999999999999996"/>
    <n v="80"/>
  </r>
  <r>
    <n v="213"/>
    <x v="1"/>
    <x v="1"/>
    <s v="Spring Street Wine Shop"/>
    <s v="N/A"/>
    <s v="N/A"/>
    <s v="N/A"/>
    <s v="N/A"/>
    <n v="12122190521"/>
    <s v="https://maps.app.goo.gl/zXnWuSi8BLvvwbbLA"/>
    <x v="8"/>
    <n v="3.7"/>
    <n v="28"/>
  </r>
  <r>
    <n v="214"/>
    <x v="1"/>
    <x v="1"/>
    <s v="Vintage On Second (Wine and Liquor Store)"/>
    <s v="N/A"/>
    <s v="N/A"/>
    <s v="N/A"/>
    <s v="N/A"/>
    <n v="12128288839"/>
    <s v="https://maps.app.goo.gl/bBcQbMqHTxLoyGnH6"/>
    <x v="8"/>
    <n v="4.5"/>
    <n v="56"/>
  </r>
  <r>
    <n v="215"/>
    <x v="0"/>
    <x v="0"/>
    <s v="No. 10 Bakery - Best bakery In Lucknow"/>
    <s v="N/A"/>
    <s v="N/A"/>
    <s v="N/A"/>
    <s v="N/A"/>
    <n v="9235604275"/>
    <s v="https://maps.app.goo.gl/dqv2WU6xSFGS4EJS7"/>
    <x v="5"/>
    <n v="4.2"/>
    <n v="9"/>
  </r>
  <r>
    <n v="216"/>
    <x v="0"/>
    <x v="0"/>
    <s v="NICE BAKERY"/>
    <s v="N/A"/>
    <s v="N/A"/>
    <s v="N/A"/>
    <s v="N/A"/>
    <n v="8097482510"/>
    <s v="https://maps.app.goo.gl/UNsrtNT5wggWkhJY6"/>
    <x v="5"/>
    <n v="4.3"/>
    <n v="31"/>
  </r>
  <r>
    <n v="217"/>
    <x v="0"/>
    <x v="0"/>
    <s v="Apollo Bakery Shop"/>
    <s v="N/A"/>
    <s v="N/A"/>
    <s v="N/A"/>
    <s v="N/A"/>
    <n v="9839034133"/>
    <s v="https://maps.app.goo.gl/ss93NukzhwUkbGGW6"/>
    <x v="5"/>
    <n v="4"/>
    <n v="36"/>
  </r>
  <r>
    <n v="218"/>
    <x v="0"/>
    <x v="0"/>
    <s v="Sugar High Food | Aminabad | Lucknow"/>
    <s v="N/A"/>
    <s v="N/A"/>
    <s v="N/A"/>
    <s v="N/A"/>
    <n v="8840136926"/>
    <s v="https://maps.app.goo.gl/3nGf7tMoy8p2by256"/>
    <x v="5"/>
    <n v="4.8"/>
    <n v="22"/>
  </r>
  <r>
    <n v="219"/>
    <x v="0"/>
    <x v="0"/>
    <s v="Burma Bakery"/>
    <s v="N/A"/>
    <s v="N/A"/>
    <s v="N/A"/>
    <s v="N/A"/>
    <n v="9839018384"/>
    <s v="https://maps.app.goo.gl/qCqY4imswcPLrVvK9"/>
    <x v="5"/>
    <n v="3.8"/>
    <n v="219"/>
  </r>
  <r>
    <n v="220"/>
    <x v="0"/>
    <x v="0"/>
    <s v="Sweet Luscious"/>
    <s v="N/A"/>
    <s v="N/A"/>
    <s v="N/A"/>
    <s v="N/A"/>
    <n v="5224010785"/>
    <s v="https://maps.app.goo.gl/Nbd7HTETtWZ5fr2q8"/>
    <x v="5"/>
    <n v="3.8"/>
    <n v="151"/>
  </r>
  <r>
    <n v="221"/>
    <x v="0"/>
    <x v="0"/>
    <s v="Sunny Bakery"/>
    <s v="N/A"/>
    <s v="N/A"/>
    <s v="N/A"/>
    <s v="N/A"/>
    <n v="7985938863"/>
    <s v="https://maps.app.goo.gl/29JV5JB6rjyWHyxQA"/>
    <x v="5"/>
    <n v="4.3"/>
    <n v="36"/>
  </r>
  <r>
    <n v="222"/>
    <x v="0"/>
    <x v="0"/>
    <s v="Indian cake shop and bakery"/>
    <s v="N/A"/>
    <s v="N/A"/>
    <s v="N/A"/>
    <s v="N/A"/>
    <n v="6351721810"/>
    <s v="https://maps.app.goo.gl/qsku31xL88XC1mtz6"/>
    <x v="5"/>
    <n v="5"/>
    <n v="6"/>
  </r>
  <r>
    <n v="223"/>
    <x v="0"/>
    <x v="0"/>
    <s v="Shyam bakery"/>
    <s v="N/A"/>
    <s v="N/A"/>
    <s v="N/A"/>
    <s v="N/A"/>
    <n v="9889889371"/>
    <s v="https://maps.app.goo.gl/n3YXJ1WvBEfuoJkq6"/>
    <x v="5"/>
    <n v="4.2"/>
    <n v="39"/>
  </r>
  <r>
    <n v="224"/>
    <x v="0"/>
    <x v="0"/>
    <s v="THE CAKE CORNER BAKERY"/>
    <s v="N/A"/>
    <s v="N/A"/>
    <s v="N/A"/>
    <s v="N/A"/>
    <n v="7007026220"/>
    <s v="https://maps.app.goo.gl/xUvpWVDZN6Fvc42q6"/>
    <x v="5"/>
    <n v="5"/>
    <n v="4"/>
  </r>
  <r>
    <n v="225"/>
    <x v="0"/>
    <x v="0"/>
    <s v="Bengal Bakery"/>
    <s v="N/A"/>
    <s v="N/A"/>
    <s v="N/A"/>
    <s v="N/A"/>
    <n v="9336704363"/>
    <s v="https://maps.app.goo.gl/1oW5EyqTVRY9oRnV7"/>
    <x v="5"/>
    <n v="3.9"/>
    <n v="34"/>
  </r>
  <r>
    <n v="226"/>
    <x v="0"/>
    <x v="0"/>
    <s v="New Good Bakers"/>
    <s v="N/A"/>
    <s v="N/A"/>
    <s v="N/A"/>
    <s v="N/A"/>
    <n v="7052646764"/>
    <s v="https://maps.app.goo.gl/cNrSqbLCixh9v1ow8"/>
    <x v="5"/>
    <n v="3.7"/>
    <n v="24"/>
  </r>
  <r>
    <n v="227"/>
    <x v="0"/>
    <x v="0"/>
    <s v="Ganj Bakery"/>
    <s v="N/A"/>
    <s v="N/A"/>
    <s v="N/A"/>
    <s v="N/A"/>
    <n v="9621454399"/>
    <s v="https://maps.app.goo.gl/EZ1zfkbPERP4MD9Z9"/>
    <x v="5"/>
    <n v="5"/>
    <n v="3"/>
  </r>
  <r>
    <n v="228"/>
    <x v="0"/>
    <x v="0"/>
    <s v="The Cake Haven"/>
    <s v="N/A"/>
    <s v="N/A"/>
    <s v="N/A"/>
    <s v="N/A"/>
    <n v="8545052079"/>
    <s v="https://maps.app.goo.gl/TgpFra9btuiWvDsW8"/>
    <x v="5"/>
    <n v="5"/>
    <n v="1"/>
  </r>
  <r>
    <n v="229"/>
    <x v="0"/>
    <x v="0"/>
    <s v="JL Cakers"/>
    <s v="N/A"/>
    <s v="N/A"/>
    <s v="N/A"/>
    <s v="N/A"/>
    <n v="9889646222"/>
    <s v="https://maps.app.goo.gl/sRmdtqWSxyuBhgKN9"/>
    <x v="5"/>
    <n v="4.9000000000000004"/>
    <n v="12"/>
  </r>
  <r>
    <n v="230"/>
    <x v="1"/>
    <x v="1"/>
    <s v="Elman's Wines &amp; Liquors"/>
    <s v="N/A"/>
    <s v="N/A"/>
    <s v="N/A"/>
    <s v="N/A"/>
    <n v="12126738362"/>
    <s v="https://maps.app.goo.gl/RZUwFGSjhCmVshGM9"/>
    <x v="8"/>
    <n v="4.3"/>
    <n v="15"/>
  </r>
  <r>
    <n v="231"/>
    <x v="1"/>
    <x v="1"/>
    <s v="Reidy Wine &amp; Liquor Inc"/>
    <s v="N/A"/>
    <s v="N/A"/>
    <s v="N/A"/>
    <s v="N/A"/>
    <n v="12122460187"/>
    <s v="https://maps.app.goo.gl/MTqv4uMzowXmNwEx7"/>
    <x v="8"/>
    <n v="2.9"/>
    <n v="130"/>
  </r>
  <r>
    <n v="232"/>
    <x v="1"/>
    <x v="1"/>
    <s v="De Lauren Wines &amp; Spirits"/>
    <s v="N/A"/>
    <s v="N/A"/>
    <s v="N/A"/>
    <s v="N/A"/>
    <n v="12122550854"/>
    <s v="https://maps.app.goo.gl/SrbYEuozp4Wvr95G6"/>
    <x v="8"/>
    <n v="4.7"/>
    <n v="91"/>
  </r>
  <r>
    <n v="233"/>
    <x v="1"/>
    <x v="1"/>
    <s v="Santo Domingo Bakery"/>
    <s v="N/A"/>
    <s v="N/A"/>
    <s v="N/A"/>
    <s v="N/A"/>
    <n v="12125052029"/>
    <s v="https://maps.app.goo.gl/E4wqyKBhc8MceAsk7"/>
    <x v="5"/>
    <n v="4.4000000000000004"/>
    <n v="239"/>
  </r>
  <r>
    <n v="234"/>
    <x v="1"/>
    <x v="1"/>
    <s v="Yue Lai Bakery"/>
    <s v="N/A"/>
    <s v="N/A"/>
    <s v="N/A"/>
    <s v="N/A"/>
    <n v="19172572263"/>
    <s v="https://maps.app.goo.gl/ZKFjGfXVXmGTY92m6"/>
    <x v="5"/>
    <n v="3.9"/>
    <n v="29"/>
  </r>
  <r>
    <n v="235"/>
    <x v="0"/>
    <x v="2"/>
    <s v="Urmila Medical Hall"/>
    <s v="N/A"/>
    <s v="N/A"/>
    <s v="N/A"/>
    <s v="N/A"/>
    <n v="8578809997"/>
    <s v="https://maps.app.goo.gl/LCzDJbrRhBBZHzrr7"/>
    <x v="3"/>
    <n v="3.9"/>
    <n v="44"/>
  </r>
  <r>
    <n v="236"/>
    <x v="0"/>
    <x v="2"/>
    <s v="Lifeline Medicals"/>
    <s v="N/A"/>
    <s v="N/A"/>
    <s v="N/A"/>
    <s v="N/A"/>
    <n v="9386063660"/>
    <s v="https://maps.app.goo.gl/TDUWwdEWZBwHyLCQ9"/>
    <x v="3"/>
    <n v="4.3"/>
    <n v="7"/>
  </r>
  <r>
    <n v="237"/>
    <x v="0"/>
    <x v="2"/>
    <s v="Nalanda Medical Hall नालंदा मेडिकल हाल"/>
    <s v="N/A"/>
    <s v="N/A"/>
    <s v="N/A"/>
    <s v="N/A"/>
    <n v="9934802080"/>
    <s v="https://maps.app.goo.gl/rtH5fN1xqASULepG7"/>
    <x v="3"/>
    <n v="4.3"/>
    <n v="28"/>
  </r>
  <r>
    <n v="238"/>
    <x v="0"/>
    <x v="2"/>
    <s v="Nirmal Medico"/>
    <s v="N/A"/>
    <s v="N/A"/>
    <s v="N/A"/>
    <s v="N/A"/>
    <n v="9334299958"/>
    <s v="https://maps.app.goo.gl/poKEZjsaYRqQ4Jou9"/>
    <x v="3"/>
    <n v="5"/>
    <n v="23"/>
  </r>
  <r>
    <n v="239"/>
    <x v="0"/>
    <x v="2"/>
    <s v="Dadiji Medical Store"/>
    <s v="N/A"/>
    <s v="N/A"/>
    <s v="N/A"/>
    <s v="N/A"/>
    <n v="9304289891"/>
    <s v="https://maps.app.goo.gl/ypcLrYhsppvcW9VH6"/>
    <x v="3"/>
    <n v="3.9"/>
    <n v="21"/>
  </r>
  <r>
    <n v="240"/>
    <x v="0"/>
    <x v="2"/>
    <s v="MAA TARA MEDICAL HALL"/>
    <s v="N/A"/>
    <s v="N/A"/>
    <s v="N/A"/>
    <s v="N/A"/>
    <n v="8084540455"/>
    <s v="https://maps.app.goo.gl/8dcHQ3USzeQQqv6C8"/>
    <x v="3"/>
    <n v="4.5"/>
    <n v="21"/>
  </r>
  <r>
    <n v="241"/>
    <x v="0"/>
    <x v="2"/>
    <s v="Sona Medical"/>
    <s v="N/A"/>
    <s v="N/A"/>
    <s v="N/A"/>
    <s v="N/A"/>
    <n v="8102224151"/>
    <s v="https://maps.app.goo.gl/3X2AT9GaaPfLUsZw7"/>
    <x v="3"/>
    <n v="4.3"/>
    <n v="18"/>
  </r>
  <r>
    <n v="242"/>
    <x v="0"/>
    <x v="2"/>
    <s v="Riya Medical Hall"/>
    <s v="N/A"/>
    <s v="N/A"/>
    <s v="N/A"/>
    <s v="N/A"/>
    <n v="9939250484"/>
    <s v="https://maps.app.goo.gl/zVBeL5pWbrGfxkSa7"/>
    <x v="3"/>
    <n v="4.8"/>
    <n v="9"/>
  </r>
  <r>
    <n v="243"/>
    <x v="0"/>
    <x v="2"/>
    <s v="Nalanda Medicals"/>
    <s v="N/A"/>
    <s v="N/A"/>
    <s v="N/A"/>
    <s v="N/A"/>
    <n v="9835286712"/>
    <s v="https://maps.app.goo.gl/DrdRS2hry5sbyrsy8"/>
    <x v="3"/>
    <n v="4.5999999999999996"/>
    <n v="5"/>
  </r>
  <r>
    <n v="244"/>
    <x v="0"/>
    <x v="2"/>
    <s v="Sona Medicals"/>
    <s v="N/A"/>
    <s v="N/A"/>
    <s v="N/A"/>
    <s v="N/A"/>
    <n v="6122281025"/>
    <s v="https://maps.app.goo.gl/QoJgDcTdngCAH9A16"/>
    <x v="3"/>
    <n v="4"/>
    <n v="11"/>
  </r>
  <r>
    <n v="245"/>
    <x v="0"/>
    <x v="2"/>
    <s v="Alok medicals hall"/>
    <s v="N/A"/>
    <s v="N/A"/>
    <s v="N/A"/>
    <s v="N/A"/>
    <n v="9608245629"/>
    <s v="https://maps.app.goo.gl/bU1PPanwjSNDoqwq9"/>
    <x v="3"/>
    <n v="4"/>
    <n v="6"/>
  </r>
  <r>
    <n v="246"/>
    <x v="0"/>
    <x v="2"/>
    <s v="Anuradha Medicals"/>
    <s v="N/A"/>
    <s v="N/A"/>
    <s v="N/A"/>
    <s v="N/A"/>
    <n v="9113305192"/>
    <s v="https://maps.app.goo.gl/kR7jtLxuL4oiDaxE8"/>
    <x v="3"/>
    <n v="4.7"/>
    <n v="3"/>
  </r>
  <r>
    <n v="247"/>
    <x v="0"/>
    <x v="2"/>
    <s v="JALPAN MEDICAL HALL"/>
    <s v="N/A"/>
    <s v="N/A"/>
    <s v="N/A"/>
    <s v="N/A"/>
    <n v="7004996603"/>
    <s v="https://maps.app.goo.gl/j2nTiNoD48Te77oXA"/>
    <x v="3"/>
    <n v="3.8"/>
    <n v="56"/>
  </r>
  <r>
    <n v="248"/>
    <x v="0"/>
    <x v="2"/>
    <s v="Paras Medical Hall"/>
    <s v="N/A"/>
    <s v="N/A"/>
    <s v="N/A"/>
    <s v="N/A"/>
    <n v="9386803691"/>
    <s v="https://maps.app.goo.gl/sbneKqdwRbKKwSc99"/>
    <x v="3"/>
    <n v="4"/>
    <n v="8"/>
  </r>
  <r>
    <n v="249"/>
    <x v="0"/>
    <x v="2"/>
    <s v="Ujala Medical"/>
    <s v="N/A"/>
    <s v="N/A"/>
    <s v="N/A"/>
    <s v="N/A"/>
    <n v="9801835490"/>
    <s v="https://maps.app.goo.gl/McwUurVvyMkMqJgL9"/>
    <x v="3"/>
    <n v="3.9"/>
    <n v="18"/>
  </r>
  <r>
    <n v="250"/>
    <x v="1"/>
    <x v="1"/>
    <s v="Elegant Express Tailor"/>
    <s v="N/A"/>
    <s v="N/A"/>
    <s v="N/A"/>
    <s v="N/A"/>
    <n v="12126747341"/>
    <s v="https://maps.app.goo.gl/1eFKWkjmXtqrAse57"/>
    <x v="6"/>
    <n v="4.0999999999999996"/>
    <n v="172"/>
  </r>
  <r>
    <n v="251"/>
    <x v="1"/>
    <x v="1"/>
    <s v="Cardelino NYC Tailoring"/>
    <s v="N/A"/>
    <s v="N/A"/>
    <s v="N/A"/>
    <s v="N/A"/>
    <n v="12124774654"/>
    <s v="https://maps.app.goo.gl/y3j7Bu67HpoTF5yG7"/>
    <x v="6"/>
    <n v="4.9000000000000004"/>
    <n v="25"/>
  </r>
  <r>
    <n v="252"/>
    <x v="1"/>
    <x v="1"/>
    <s v="P J D Custom Tailoring &amp; Alterations"/>
    <s v="N/A"/>
    <s v="N/A"/>
    <s v="N/A"/>
    <s v="N/A"/>
    <n v="19179383985"/>
    <s v="https://maps.app.goo.gl/xb2DNxeZDDDfmHRS8"/>
    <x v="6"/>
    <n v="4.5"/>
    <n v="51"/>
  </r>
  <r>
    <n v="253"/>
    <x v="1"/>
    <x v="1"/>
    <s v="D'Alex Tailor Shop"/>
    <s v="N/A"/>
    <s v="N/A"/>
    <s v="N/A"/>
    <s v="N/A"/>
    <n v="12122283986"/>
    <s v="https://maps.app.goo.gl/6jq5A8nWATbQfZHx9"/>
    <x v="6"/>
    <n v="4.5999999999999996"/>
    <n v="33"/>
  </r>
  <r>
    <n v="254"/>
    <x v="1"/>
    <x v="1"/>
    <s v="Sastreria Garcia"/>
    <s v="N/A"/>
    <s v="N/A"/>
    <s v="N/A"/>
    <s v="N/A"/>
    <n v="16462718905"/>
    <s v="https://maps.app.goo.gl/VK8bYpz6nyTyLMGN9"/>
    <x v="6"/>
    <n v="4.5"/>
    <n v="71"/>
  </r>
  <r>
    <n v="255"/>
    <x v="0"/>
    <x v="2"/>
    <s v="Medisinen Medical Shop"/>
    <s v="N/A"/>
    <s v="N/A"/>
    <s v="N/A"/>
    <s v="N/A"/>
    <n v="9304398435"/>
    <s v="https://maps.app.goo.gl/bVa56rn7MDvG4Vdy9"/>
    <x v="3"/>
    <n v="5"/>
    <n v="138"/>
  </r>
  <r>
    <n v="256"/>
    <x v="0"/>
    <x v="2"/>
    <s v="Drug O2 | Medical Store | Online Medicine Order Patna"/>
    <s v="N/A"/>
    <s v="N/A"/>
    <s v="N/A"/>
    <s v="N/A"/>
    <n v="7768030303"/>
    <s v="https://maps.app.goo.gl/UNNj8RU9cJnWzKFf9"/>
    <x v="3"/>
    <n v="4.8"/>
    <n v="236"/>
  </r>
  <r>
    <n v="257"/>
    <x v="0"/>
    <x v="2"/>
    <s v="Radha Medicals"/>
    <s v="N/A"/>
    <s v="N/A"/>
    <s v="N/A"/>
    <s v="N/A"/>
    <n v="9334083440"/>
    <s v="https://maps.app.goo.gl/8mhNHs1X5XToWmZK9"/>
    <x v="3"/>
    <n v="4.5"/>
    <n v="27"/>
  </r>
  <r>
    <n v="258"/>
    <x v="0"/>
    <x v="2"/>
    <s v="SAGUN MEDICAL"/>
    <s v="N/A"/>
    <s v="N/A"/>
    <s v="N/A"/>
    <s v="N/A"/>
    <n v="9117177771"/>
    <s v="https://maps.app.goo.gl/pJEgvitVF6LfkWQ99"/>
    <x v="3"/>
    <n v="4.7"/>
    <n v="161"/>
  </r>
  <r>
    <n v="259"/>
    <x v="0"/>
    <x v="2"/>
    <s v="Healthcare Medicines - Home delivery available"/>
    <s v="N/A"/>
    <s v="N/A"/>
    <s v="N/A"/>
    <s v="N/A"/>
    <n v="8092210210"/>
    <s v="https://maps.app.goo.gl/R8n6KZiDRfFLE3Pw6"/>
    <x v="3"/>
    <n v="4.9000000000000004"/>
    <n v="59"/>
  </r>
  <r>
    <n v="260"/>
    <x v="0"/>
    <x v="2"/>
    <s v="Geetanjali Medical"/>
    <s v="N/A"/>
    <s v="N/A"/>
    <s v="N/A"/>
    <s v="N/A"/>
    <n v="9430270997"/>
    <s v="https://maps.app.goo.gl/EYP6XF4H1wmHNwtq7"/>
    <x v="3"/>
    <n v="3.6"/>
    <n v="54"/>
  </r>
  <r>
    <n v="261"/>
    <x v="0"/>
    <x v="2"/>
    <s v="New GetWell Medical"/>
    <s v="N/A"/>
    <s v="N/A"/>
    <s v="N/A"/>
    <s v="N/A"/>
    <n v="9931714161"/>
    <s v="https://maps.app.goo.gl/5dh9pFhJSZCrfcsU7"/>
    <x v="3"/>
    <n v="4"/>
    <n v="26"/>
  </r>
  <r>
    <n v="262"/>
    <x v="0"/>
    <x v="2"/>
    <s v="New Krishna Medical Hall"/>
    <s v="N/A"/>
    <s v="N/A"/>
    <s v="N/A"/>
    <s v="N/A"/>
    <n v="8434744899"/>
    <s v="https://maps.app.goo.gl/hRLgL4vzpT48YYh9A"/>
    <x v="3"/>
    <n v="4.8"/>
    <n v="23"/>
  </r>
  <r>
    <n v="263"/>
    <x v="0"/>
    <x v="2"/>
    <s v="Kamal Medical Hall"/>
    <s v="N/A"/>
    <s v="N/A"/>
    <s v="N/A"/>
    <s v="N/A"/>
    <n v="8252220418"/>
    <s v="https://maps.app.goo.gl/6qwJ2jqBntNpsxCq9"/>
    <x v="3"/>
    <n v="4.7"/>
    <n v="92"/>
  </r>
  <r>
    <n v="264"/>
    <x v="0"/>
    <x v="2"/>
    <s v="Aditya Medicals"/>
    <s v="N/A"/>
    <s v="N/A"/>
    <s v="N/A"/>
    <s v="N/A"/>
    <n v="9771407251"/>
    <s v="https://maps.app.goo.gl/54K4dsA5JBvnXX6e6"/>
    <x v="3"/>
    <n v="4.7"/>
    <n v="12"/>
  </r>
  <r>
    <n v="265"/>
    <x v="0"/>
    <x v="2"/>
    <s v="Shobha Medicals"/>
    <s v="N/A"/>
    <s v="N/A"/>
    <s v="N/A"/>
    <s v="N/A"/>
    <n v="8340499972"/>
    <s v="https://maps.app.goo.gl/RpbNPNnLj1sZSpBUA"/>
    <x v="3"/>
    <n v="4.2"/>
    <n v="36"/>
  </r>
  <r>
    <n v="266"/>
    <x v="0"/>
    <x v="2"/>
    <s v="Anubha Medical Hall"/>
    <s v="N/A"/>
    <s v="N/A"/>
    <s v="N/A"/>
    <s v="N/A"/>
    <n v="9431493121"/>
    <s v="https://maps.app.goo.gl/xkQq5Pux4Rx1uT4c6"/>
    <x v="3"/>
    <n v="4.3"/>
    <n v="16"/>
  </r>
  <r>
    <n v="267"/>
    <x v="0"/>
    <x v="2"/>
    <s v="AUSHDHAM MEDICAL STORE"/>
    <s v="N/A"/>
    <s v="N/A"/>
    <s v="N/A"/>
    <s v="N/A"/>
    <n v="6201374184"/>
    <s v="https://maps.app.goo.gl/FYcifXwevE523wg79"/>
    <x v="3"/>
    <n v="4.7"/>
    <n v="14"/>
  </r>
  <r>
    <n v="268"/>
    <x v="0"/>
    <x v="2"/>
    <s v="Sri Vishnu Medical Hall, Patna"/>
    <s v="N/A"/>
    <s v="N/A"/>
    <s v="N/A"/>
    <s v="N/A"/>
    <n v="7992310993"/>
    <s v="https://maps.app.goo.gl/AGJDKxTCij2YVBHr7"/>
    <x v="3"/>
    <n v="4.8"/>
    <n v="4"/>
  </r>
  <r>
    <n v="269"/>
    <x v="0"/>
    <x v="2"/>
    <s v="New Chopra Medical"/>
    <s v="N/A"/>
    <s v="N/A"/>
    <s v="N/A"/>
    <s v="N/A"/>
    <n v="9693204765"/>
    <s v="https://maps.app.goo.gl/2U63iubCrh786xiK9"/>
    <x v="3"/>
    <n v="3.8"/>
    <n v="63"/>
  </r>
  <r>
    <n v="270"/>
    <x v="1"/>
    <x v="1"/>
    <s v="Expert Tailoring"/>
    <s v="N/A"/>
    <s v="N/A"/>
    <s v="N/A"/>
    <s v="N/A"/>
    <n v="12122541151"/>
    <s v="https://maps.app.goo.gl/QYE7UDQKzT5a1qXr7"/>
    <x v="6"/>
    <n v="4.5"/>
    <n v="82"/>
  </r>
  <r>
    <n v="271"/>
    <x v="1"/>
    <x v="1"/>
    <s v="Alteration Concept"/>
    <s v="N/A"/>
    <s v="N/A"/>
    <s v="N/A"/>
    <s v="N/A"/>
    <n v="12128976543"/>
    <s v="https://maps.app.goo.gl/px7TFBKq2xdRpagU9"/>
    <x v="6"/>
    <n v="4.5999999999999996"/>
    <n v="58"/>
  </r>
  <r>
    <n v="272"/>
    <x v="1"/>
    <x v="1"/>
    <s v="BLUE 35 TAILOR &amp; CLEANERS"/>
    <s v="N/A"/>
    <s v="N/A"/>
    <s v="N/A"/>
    <s v="N/A"/>
    <n v="12127361167"/>
    <s v="https://maps.app.goo.gl/E6qg3MmRHLnd9SV18"/>
    <x v="6"/>
    <n v="4.5999999999999996"/>
    <n v="85"/>
  </r>
  <r>
    <n v="273"/>
    <x v="1"/>
    <x v="1"/>
    <s v="Larry Custom Tailors and Alterations"/>
    <s v="N/A"/>
    <s v="N/A"/>
    <s v="N/A"/>
    <s v="N/A"/>
    <n v="12129673493"/>
    <s v="https://maps.app.goo.gl/H4wNZ2sCC3Fn45AP9"/>
    <x v="6"/>
    <n v="5"/>
    <n v="10"/>
  </r>
  <r>
    <n v="274"/>
    <x v="1"/>
    <x v="1"/>
    <s v="Adelso Clasico Tailor"/>
    <s v="N/A"/>
    <s v="N/A"/>
    <s v="N/A"/>
    <s v="N/A"/>
    <n v="13477931429"/>
    <s v="https://maps.app.goo.gl/76gEjcmfzPM1n1Pz9"/>
    <x v="6"/>
    <n v="4.7"/>
    <n v="69"/>
  </r>
  <r>
    <n v="275"/>
    <x v="0"/>
    <x v="2"/>
    <s v="Gayatri Medical Hall"/>
    <s v="N/A"/>
    <s v="N/A"/>
    <s v="N/A"/>
    <s v="N/A"/>
    <n v="9693837617"/>
    <s v="https://maps.app.goo.gl/XVmfK8y66mdWsi8r7"/>
    <x v="3"/>
    <n v="4.3"/>
    <n v="6"/>
  </r>
  <r>
    <n v="276"/>
    <x v="0"/>
    <x v="2"/>
    <s v="Mahaveer Medicals"/>
    <s v="N/A"/>
    <s v="N/A"/>
    <s v="N/A"/>
    <s v="N/A"/>
    <n v="9608266633"/>
    <s v="https://maps.app.goo.gl/VzCMTa1xKq4N8WMn9"/>
    <x v="3"/>
    <n v="4.2"/>
    <n v="10"/>
  </r>
  <r>
    <n v="277"/>
    <x v="0"/>
    <x v="2"/>
    <s v="Divya Medico"/>
    <s v="N/A"/>
    <s v="N/A"/>
    <s v="N/A"/>
    <s v="N/A"/>
    <n v="9905050226"/>
    <s v="https://maps.app.goo.gl/vuqJy2yhxozMn8hr8"/>
    <x v="3"/>
    <n v="2.2999999999999998"/>
    <n v="3"/>
  </r>
  <r>
    <n v="278"/>
    <x v="0"/>
    <x v="2"/>
    <s v="PRABHAT MEDICAL HALL"/>
    <s v="N/A"/>
    <s v="N/A"/>
    <s v="N/A"/>
    <s v="N/A"/>
    <n v="8873759590"/>
    <s v="https://maps.app.goo.gl/YUBhW55pHToaxg826"/>
    <x v="3"/>
    <n v="3.9"/>
    <n v="19"/>
  </r>
  <r>
    <n v="279"/>
    <x v="0"/>
    <x v="2"/>
    <s v="Tara Medical Hall"/>
    <s v="N/A"/>
    <s v="N/A"/>
    <s v="N/A"/>
    <s v="N/A"/>
    <n v="7541811717"/>
    <s v="https://maps.app.goo.gl/i6zCfe4riLm4ZFmN8"/>
    <x v="3"/>
    <n v="5"/>
    <n v="2"/>
  </r>
  <r>
    <n v="280"/>
    <x v="0"/>
    <x v="2"/>
    <s v="Unani medical patna"/>
    <s v="N/A"/>
    <s v="N/A"/>
    <s v="N/A"/>
    <s v="N/A"/>
    <n v="7903638039"/>
    <s v="https://maps.app.goo.gl/DX8wk2FGCwqqVwWJ6"/>
    <x v="3"/>
    <n v="4.8"/>
    <n v="5"/>
  </r>
  <r>
    <n v="281"/>
    <x v="0"/>
    <x v="2"/>
    <s v="DEV MEDICAL &amp; Path Lab center"/>
    <s v="N/A"/>
    <s v="N/A"/>
    <s v="N/A"/>
    <s v="N/A"/>
    <n v="7209642334"/>
    <s v="https://maps.app.goo.gl/avSoLBL7ZoiikyGr5"/>
    <x v="3"/>
    <n v="4.9000000000000004"/>
    <n v="24"/>
  </r>
  <r>
    <n v="282"/>
    <x v="0"/>
    <x v="2"/>
    <s v="Pacific Surgicals And Pharmacy"/>
    <s v="N/A"/>
    <s v="N/A"/>
    <s v="N/A"/>
    <s v="N/A"/>
    <n v="6203186077"/>
    <s v="https://maps.app.goo.gl/HbavHWZzPp2iiKpaA"/>
    <x v="3"/>
    <n v="4.5999999999999996"/>
    <n v="25"/>
  </r>
  <r>
    <n v="283"/>
    <x v="0"/>
    <x v="2"/>
    <s v="Medical Store"/>
    <s v="N/A"/>
    <s v="N/A"/>
    <s v="N/A"/>
    <s v="N/A"/>
    <n v="7544824817"/>
    <s v="https://maps.app.goo.gl/XZzySez27gdwPd6o9"/>
    <x v="3"/>
    <n v="2.2999999999999998"/>
    <n v="4"/>
  </r>
  <r>
    <n v="284"/>
    <x v="0"/>
    <x v="2"/>
    <s v="Dawai Medical Hall"/>
    <s v="N/A"/>
    <s v="N/A"/>
    <s v="N/A"/>
    <s v="N/A"/>
    <n v="9534438460"/>
    <s v="https://maps.app.goo.gl/bdRASB34szttVtTNA"/>
    <x v="3"/>
    <n v="4.5999999999999996"/>
    <n v="16"/>
  </r>
  <r>
    <n v="285"/>
    <x v="0"/>
    <x v="2"/>
    <s v="Sulekha Medical Hall"/>
    <s v="N/A"/>
    <s v="N/A"/>
    <s v="N/A"/>
    <s v="N/A"/>
    <n v="9386773875"/>
    <s v="https://maps.app.goo.gl/sShNStGhCEYayiKs6"/>
    <x v="3"/>
    <n v="4"/>
    <n v="3"/>
  </r>
  <r>
    <n v="286"/>
    <x v="0"/>
    <x v="2"/>
    <s v="Mahaveer Medical"/>
    <s v="N/A"/>
    <s v="N/A"/>
    <s v="N/A"/>
    <s v="N/A"/>
    <n v="7488074261"/>
    <s v="https://maps.app.goo.gl/Jo1DDFc4FsY4mn82A"/>
    <x v="3"/>
    <n v="0"/>
    <n v="0"/>
  </r>
  <r>
    <n v="287"/>
    <x v="0"/>
    <x v="2"/>
    <s v="Jain Medical Agency"/>
    <s v="N/A"/>
    <s v="N/A"/>
    <s v="N/A"/>
    <s v="N/A"/>
    <n v="6122300915"/>
    <s v="https://maps.app.goo.gl/U6GjyB97wYVMLNT38"/>
    <x v="3"/>
    <n v="5"/>
    <n v="2"/>
  </r>
  <r>
    <n v="288"/>
    <x v="1"/>
    <x v="1"/>
    <s v="Tailor New York"/>
    <s v="N/A"/>
    <s v="N/A"/>
    <s v="N/A"/>
    <s v="N/A"/>
    <n v="12128401871"/>
    <s v="https://maps.app.goo.gl/fJt1FVvSNYZ3PUz18"/>
    <x v="6"/>
    <n v="4.4000000000000004"/>
    <n v="69"/>
  </r>
  <r>
    <n v="289"/>
    <x v="1"/>
    <x v="1"/>
    <s v="Bosco &amp; Barraza Tailors"/>
    <s v="N/A"/>
    <s v="N/A"/>
    <s v="N/A"/>
    <s v="N/A"/>
    <n v="12127533990"/>
    <s v="https://maps.app.goo.gl/HLtkVGGYiST4nj5V8"/>
    <x v="6"/>
    <n v="4.2"/>
    <n v="14"/>
  </r>
  <r>
    <n v="290"/>
    <x v="1"/>
    <x v="1"/>
    <s v="Woodside Tailor Shop"/>
    <s v="N/A"/>
    <s v="N/A"/>
    <s v="N/A"/>
    <s v="N/A"/>
    <n v="17183923382"/>
    <s v="https://maps.app.goo.gl/Lhr7GNA1W6tSA2iS6"/>
    <x v="6"/>
    <n v="3.9"/>
    <n v="18"/>
  </r>
  <r>
    <n v="291"/>
    <x v="1"/>
    <x v="1"/>
    <s v="LNC Tailor &amp; Bespoke Shop est 1981"/>
    <s v="N/A"/>
    <s v="N/A"/>
    <s v="N/A"/>
    <s v="N/A"/>
    <n v="12124069527"/>
    <s v="https://maps.app.goo.gl/DVq9KBV5KKXCJGjT9"/>
    <x v="6"/>
    <n v="4.9000000000000004"/>
    <n v="436"/>
  </r>
  <r>
    <n v="292"/>
    <x v="1"/>
    <x v="1"/>
    <s v="Expert Tailoring"/>
    <s v="N/A"/>
    <s v="N/A"/>
    <s v="N/A"/>
    <s v="N/A"/>
    <n v="12122541151"/>
    <s v="https://maps.app.goo.gl/h8MahW6yii6aTBjQ9"/>
    <x v="6"/>
    <n v="4.5"/>
    <n v="82"/>
  </r>
  <r>
    <n v="293"/>
    <x v="0"/>
    <x v="2"/>
    <s v="Mobile medical"/>
    <s v="N/A"/>
    <s v="N/A"/>
    <s v="N/A"/>
    <s v="N/A"/>
    <n v="8540999641"/>
    <s v="https://maps.app.goo.gl/RWyvkQ91hoHLPvZw9"/>
    <x v="3"/>
    <n v="4.9000000000000004"/>
    <n v="374"/>
  </r>
  <r>
    <n v="294"/>
    <x v="0"/>
    <x v="2"/>
    <s v="Sri Maa Medical"/>
    <s v="N/A"/>
    <s v="N/A"/>
    <s v="N/A"/>
    <s v="N/A"/>
    <n v="8617433071"/>
    <s v="https://maps.app.goo.gl/91WGK16EK8MmVYxG8"/>
    <x v="3"/>
    <n v="5"/>
    <n v="1"/>
  </r>
  <r>
    <n v="295"/>
    <x v="0"/>
    <x v="2"/>
    <s v="Paras Medical Hall"/>
    <s v="N/A"/>
    <s v="N/A"/>
    <s v="N/A"/>
    <s v="N/A"/>
    <n v="8210184659"/>
    <s v="https://maps.app.goo.gl/HLTBEoMhCUiXNdsA9"/>
    <x v="3"/>
    <n v="0"/>
    <n v="0"/>
  </r>
  <r>
    <n v="296"/>
    <x v="0"/>
    <x v="2"/>
    <s v="Das Medical Hall"/>
    <s v="N/A"/>
    <s v="N/A"/>
    <s v="N/A"/>
    <s v="N/A"/>
    <n v="8789822353"/>
    <s v="https://maps.app.goo.gl/bjZegjkSwRA84cA4A"/>
    <x v="3"/>
    <n v="5"/>
    <n v="2"/>
  </r>
  <r>
    <n v="297"/>
    <x v="0"/>
    <x v="2"/>
    <s v="Ayush Medical"/>
    <s v="N/A"/>
    <s v="N/A"/>
    <s v="N/A"/>
    <s v="N/A"/>
    <n v="9386999603"/>
    <s v="https://maps.app.goo.gl/DkL3kFFn3PD3UkxG6"/>
    <x v="3"/>
    <n v="5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Contact Availability" cacheId="6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13">
    <pivotField name="S.No" compact="0" outline="0" multipleItemSelectionAllowed="1" showAll="0"/>
    <pivotField name="Country" axis="axisRow" compact="0" outline="0" multipleItemSelectionAllowed="1" showAll="0" sortType="ascending">
      <items count="3">
        <item x="0"/>
        <item x="1"/>
        <item t="default"/>
      </items>
    </pivotField>
    <pivotField name="City" compact="0" outline="0" multipleItemSelectionAllowed="1" showAll="0"/>
    <pivotField name="Company" compact="0" outline="0" multipleItemSelectionAllowed="1" showAll="0"/>
    <pivotField name="LINKEDIN LINK" compact="0" outline="0" multipleItemSelectionAllowed="1" showAll="0"/>
    <pivotField name="Website" compact="0" outline="0" multipleItemSelectionAllowed="1" showAll="0"/>
    <pivotField name="Tech Need / Problem" compact="0" outline="0" multipleItemSelectionAllowed="1" showAll="0"/>
    <pivotField name="EMAIL" compact="0" outline="0" multipleItemSelectionAllowed="1" showAll="0"/>
    <pivotField name="CONTACT" dataField="1" compact="0" outline="0" multipleItemSelectionAllowed="1" showAll="0"/>
    <pivotField name="Google Map" compact="0" outline="0" multipleItemSelectionAllowed="1" showAll="0"/>
    <pivotField name="Category" compact="0" outline="0" multipleItemSelectionAllowed="1" showAll="0"/>
    <pivotField name="Ratings" compact="0" outline="0" multipleItemSelectionAllowed="1" showAll="0"/>
    <pivotField name="Reviews" compact="0" outline="0" multipleItemSelectionAllowe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A of CONTACT" fld="8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1000000}" name="Count of company by category" cacheId="6" applyNumberFormats="0" applyBorderFormats="0" applyFontFormats="0" applyPatternFormats="0" applyAlignmentFormats="0" applyWidthHeightFormats="0" dataCaption="" updatedVersion="8" compact="0" compactData="0">
  <location ref="A1:B14" firstHeaderRow="1" firstDataRow="1" firstDataCol="1"/>
  <pivotFields count="13">
    <pivotField name="S.No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Company" dataField="1" compact="0" outline="0" multipleItemSelectionAllowed="1" showAll="0"/>
    <pivotField name="LINKEDIN LINK" compact="0" outline="0" multipleItemSelectionAllowed="1" showAll="0"/>
    <pivotField name="Website" compact="0" outline="0" multipleItemSelectionAllowed="1" showAll="0"/>
    <pivotField name="Tech Need / Problem" compact="0" outline="0" multipleItemSelectionAllowed="1" showAll="0"/>
    <pivotField name="EMAIL" compact="0" outline="0" multipleItemSelectionAllowed="1" showAll="0"/>
    <pivotField name="CONTACT" compact="0" outline="0" multipleItemSelectionAllowed="1" showAll="0"/>
    <pivotField name="Google Map" compact="0" outline="0" multipleItemSelectionAllowed="1" showAll="0"/>
    <pivotField name="Category" axis="axisRow" compact="0" outline="0" multipleItemSelectionAllowed="1" showAll="0" sortType="ascending">
      <items count="13">
        <item x="0"/>
        <item x="11"/>
        <item x="5"/>
        <item x="10"/>
        <item x="4"/>
        <item x="2"/>
        <item x="1"/>
        <item x="7"/>
        <item x="3"/>
        <item x="9"/>
        <item x="6"/>
        <item x="8"/>
        <item t="default"/>
      </items>
    </pivotField>
    <pivotField name="Ratings" compact="0" outline="0" multipleItemSelectionAllowed="1" showAll="0"/>
    <pivotField name="Reviews" compact="0" outline="0" multipleItemSelectionAllowed="1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A of Company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Business by city" cacheId="6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13">
    <pivotField name="S.No" compact="0" outline="0" multipleItemSelectionAllowed="1" showAll="0"/>
    <pivotField name="Country" compact="0" outline="0" multipleItemSelectionAllowed="1" showAll="0"/>
    <pivotField name="City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Company" compact="0" outline="0" multipleItemSelectionAllowed="1" showAll="0"/>
    <pivotField name="LINKEDIN LINK" compact="0" outline="0" multipleItemSelectionAllowed="1" showAll="0"/>
    <pivotField name="Website" compact="0" outline="0" multipleItemSelectionAllowed="1" showAll="0"/>
    <pivotField name="Tech Need / Problem" compact="0" outline="0" multipleItemSelectionAllowed="1" showAll="0"/>
    <pivotField name="EMAIL" compact="0" outline="0" multipleItemSelectionAllowed="1" showAll="0"/>
    <pivotField name="CONTACT" compact="0" outline="0" multipleItemSelectionAllowed="1" showAll="0"/>
    <pivotField name="Google Map" compact="0" outline="0" multipleItemSelectionAllowed="1" showAll="0"/>
    <pivotField name="Category" dataField="1" compact="0" outline="0" multipleItemSelectionAllowed="1" showAll="0"/>
    <pivotField name="Ratings" compact="0" outline="0" multipleItemSelectionAllowed="1" showAll="0"/>
    <pivotField name="Reviews" compact="0" outline="0" multipleItemSelectionAllowe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A of Category" fld="1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3000000}" name="Category By Reviews" cacheId="6" applyNumberFormats="0" applyBorderFormats="0" applyFontFormats="0" applyPatternFormats="0" applyAlignmentFormats="0" applyWidthHeightFormats="0" dataCaption="" updatedVersion="8" compact="0" compactData="0">
  <location ref="A1:B14" firstHeaderRow="1" firstDataRow="1" firstDataCol="1"/>
  <pivotFields count="13">
    <pivotField name="S.No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Company" compact="0" outline="0" multipleItemSelectionAllowed="1" showAll="0"/>
    <pivotField name="LINKEDIN LINK" compact="0" outline="0" multipleItemSelectionAllowed="1" showAll="0"/>
    <pivotField name="Website" compact="0" outline="0" multipleItemSelectionAllowed="1" showAll="0"/>
    <pivotField name="Tech Need / Problem" compact="0" outline="0" multipleItemSelectionAllowed="1" showAll="0"/>
    <pivotField name="EMAIL" compact="0" outline="0" multipleItemSelectionAllowed="1" showAll="0"/>
    <pivotField name="CONTACT" compact="0" outline="0" multipleItemSelectionAllowed="1" showAll="0"/>
    <pivotField name="Google Map" compact="0" outline="0" multipleItemSelectionAllowed="1" showAll="0"/>
    <pivotField name="Category" axis="axisRow" compact="0" outline="0" multipleItemSelectionAllowed="1" showAll="0" sortType="ascending">
      <items count="13">
        <item x="0"/>
        <item x="11"/>
        <item x="5"/>
        <item x="10"/>
        <item x="4"/>
        <item x="2"/>
        <item x="1"/>
        <item x="7"/>
        <item x="3"/>
        <item x="9"/>
        <item x="6"/>
        <item x="8"/>
        <item t="default"/>
      </items>
    </pivotField>
    <pivotField name="Ratings" compact="0" outline="0" multipleItemSelectionAllowed="1" showAll="0"/>
    <pivotField name="Reviews" dataField="1" compact="0" outline="0" multipleItemSelectionAllowed="1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iews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4000000}" name="AVG rating by Category" cacheId="6" applyNumberFormats="0" applyBorderFormats="0" applyFontFormats="0" applyPatternFormats="0" applyAlignmentFormats="0" applyWidthHeightFormats="0" dataCaption="" updatedVersion="8" compact="0" compactData="0">
  <location ref="A1:B14" firstHeaderRow="1" firstDataRow="1" firstDataCol="1"/>
  <pivotFields count="13">
    <pivotField name="S.No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Company" compact="0" outline="0" multipleItemSelectionAllowed="1" showAll="0"/>
    <pivotField name="LINKEDIN LINK" compact="0" outline="0" multipleItemSelectionAllowed="1" showAll="0"/>
    <pivotField name="Website" compact="0" outline="0" multipleItemSelectionAllowed="1" showAll="0"/>
    <pivotField name="Tech Need / Problem" compact="0" outline="0" multipleItemSelectionAllowed="1" showAll="0"/>
    <pivotField name="EMAIL" compact="0" outline="0" multipleItemSelectionAllowed="1" showAll="0"/>
    <pivotField name="CONTACT" compact="0" outline="0" multipleItemSelectionAllowed="1" showAll="0"/>
    <pivotField name="Google Map" compact="0" outline="0" multipleItemSelectionAllowed="1" showAll="0"/>
    <pivotField name="Category" axis="axisRow" compact="0" outline="0" multipleItemSelectionAllowed="1" showAll="0" sortType="ascending">
      <items count="13">
        <item x="0"/>
        <item x="11"/>
        <item x="5"/>
        <item x="10"/>
        <item x="4"/>
        <item x="2"/>
        <item x="1"/>
        <item x="7"/>
        <item x="3"/>
        <item x="9"/>
        <item x="6"/>
        <item x="8"/>
        <item t="default"/>
      </items>
    </pivotField>
    <pivotField name="Ratings" dataField="1" compact="0" outline="0" multipleItemSelectionAllowed="1" showAll="0"/>
    <pivotField name="Reviews" compact="0" outline="0" multipleItemSelectionAllowed="1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Ratings" fld="11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5000000}" name="Category Distribution by Countr" cacheId="6" applyNumberFormats="0" applyBorderFormats="0" applyFontFormats="0" applyPatternFormats="0" applyAlignmentFormats="0" applyWidthHeightFormats="0" dataCaption="" updatedVersion="8" compact="0" compactData="0">
  <location ref="A1:D15" firstHeaderRow="1" firstDataRow="2" firstDataCol="1"/>
  <pivotFields count="13">
    <pivotField name="S.No" compact="0" outline="0" multipleItemSelectionAllowed="1" showAll="0"/>
    <pivotField name="Country" axis="axisCol" compact="0" outline="0" multipleItemSelectionAllowed="1" showAll="0" sortType="ascending">
      <items count="3">
        <item x="0"/>
        <item x="1"/>
        <item t="default"/>
      </items>
    </pivotField>
    <pivotField name="City" compact="0" outline="0" multipleItemSelectionAllowed="1" showAll="0"/>
    <pivotField name="Company" dataField="1" compact="0" outline="0" multipleItemSelectionAllowed="1" showAll="0"/>
    <pivotField name="LINKEDIN LINK" compact="0" outline="0" multipleItemSelectionAllowed="1" showAll="0"/>
    <pivotField name="Website" compact="0" outline="0" multipleItemSelectionAllowed="1" showAll="0"/>
    <pivotField name="Tech Need / Problem" compact="0" outline="0" multipleItemSelectionAllowed="1" showAll="0"/>
    <pivotField name="EMAIL" compact="0" outline="0" multipleItemSelectionAllowed="1" showAll="0"/>
    <pivotField name="CONTACT" compact="0" outline="0" multipleItemSelectionAllowed="1" showAll="0"/>
    <pivotField name="Google Map" compact="0" outline="0" multipleItemSelectionAllowed="1" showAll="0"/>
    <pivotField name="Category" axis="axisRow" compact="0" outline="0" multipleItemSelectionAllowed="1" showAll="0" sortType="ascending">
      <items count="13">
        <item x="0"/>
        <item x="11"/>
        <item x="5"/>
        <item x="10"/>
        <item x="4"/>
        <item x="2"/>
        <item x="1"/>
        <item x="7"/>
        <item x="3"/>
        <item x="9"/>
        <item x="6"/>
        <item x="8"/>
        <item t="default"/>
      </items>
    </pivotField>
    <pivotField name="Ratings" compact="0" outline="0" multipleItemSelectionAllowed="1" showAll="0"/>
    <pivotField name="Reviews" compact="0" outline="0" multipleItemSelectionAllowed="1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A of Company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29T23:02:15.00" personId="{8707ABB5-9A91-4D40-B211-B31064A6C309}" id="{D0D52E5F-58EC-4000-A604-58C0DBD5E170}">
    <text>contact, and location invalid</text>
  </threadedComment>
  <threadedComment ref="D259" dT="2026-09-29T23:05:23.00" personId="{8707ABB5-9A91-4D40-B211-B31064A6C309}" id="{B88A999E-EBA7-47C2-BFB4-E3F77CDA8EFC}">
    <text>Name Correction: SHAGUN  MEDICAL -&gt; SAGUN MEDICAL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TAVMet4JKXqkLSEy5" TargetMode="External"/><Relationship Id="rId299" Type="http://schemas.openxmlformats.org/officeDocument/2006/relationships/vmlDrawing" Target="../drawings/vmlDrawing1.vml"/><Relationship Id="rId21" Type="http://schemas.openxmlformats.org/officeDocument/2006/relationships/hyperlink" Target="https://maps.app.goo.gl/gF8nNigdUrRL2XuJ6" TargetMode="External"/><Relationship Id="rId63" Type="http://schemas.openxmlformats.org/officeDocument/2006/relationships/hyperlink" Target="https://maps.app.goo.gl/56uSn3DNXL8Vatxx7" TargetMode="External"/><Relationship Id="rId159" Type="http://schemas.openxmlformats.org/officeDocument/2006/relationships/hyperlink" Target="https://maps.app.goo.gl/WH6FUWkJgH31Wt3v5" TargetMode="External"/><Relationship Id="rId170" Type="http://schemas.openxmlformats.org/officeDocument/2006/relationships/hyperlink" Target="https://maps.app.goo.gl/7mbsUxP3eY37PbU96" TargetMode="External"/><Relationship Id="rId226" Type="http://schemas.openxmlformats.org/officeDocument/2006/relationships/hyperlink" Target="https://maps.app.goo.gl/1oW5EyqTVRY9oRnV7" TargetMode="External"/><Relationship Id="rId268" Type="http://schemas.openxmlformats.org/officeDocument/2006/relationships/hyperlink" Target="https://maps.app.goo.gl/FYcifXwevE523wg79" TargetMode="External"/><Relationship Id="rId32" Type="http://schemas.openxmlformats.org/officeDocument/2006/relationships/hyperlink" Target="https://maps.app.goo.gl/MDYUxT4snnxenws18" TargetMode="External"/><Relationship Id="rId74" Type="http://schemas.openxmlformats.org/officeDocument/2006/relationships/hyperlink" Target="https://maps.app.goo.gl/zYkMJDsUC4iqpAjv7" TargetMode="External"/><Relationship Id="rId128" Type="http://schemas.openxmlformats.org/officeDocument/2006/relationships/hyperlink" Target="https://maps.app.goo.gl/pKHeNasBhVmKR33PA" TargetMode="External"/><Relationship Id="rId5" Type="http://schemas.openxmlformats.org/officeDocument/2006/relationships/hyperlink" Target="https://maps.app.goo.gl/aQTVy4qYCbXqdmMK6" TargetMode="External"/><Relationship Id="rId181" Type="http://schemas.openxmlformats.org/officeDocument/2006/relationships/hyperlink" Target="https://maps.app.goo.gl/gq8Jk46RXMJR37Kt5" TargetMode="External"/><Relationship Id="rId237" Type="http://schemas.openxmlformats.org/officeDocument/2006/relationships/hyperlink" Target="https://maps.app.goo.gl/TDUWwdEWZBwHyLCQ9" TargetMode="External"/><Relationship Id="rId279" Type="http://schemas.openxmlformats.org/officeDocument/2006/relationships/hyperlink" Target="https://maps.app.goo.gl/YUBhW55pHToaxg826" TargetMode="External"/><Relationship Id="rId43" Type="http://schemas.openxmlformats.org/officeDocument/2006/relationships/hyperlink" Target="https://maps.app.goo.gl/HezBKeBy68i2pE6T6" TargetMode="External"/><Relationship Id="rId139" Type="http://schemas.openxmlformats.org/officeDocument/2006/relationships/hyperlink" Target="https://maps.app.goo.gl/5HboY2v6uKWC16y29" TargetMode="External"/><Relationship Id="rId290" Type="http://schemas.openxmlformats.org/officeDocument/2006/relationships/hyperlink" Target="https://maps.app.goo.gl/HLtkVGGYiST4nj5V8" TargetMode="External"/><Relationship Id="rId85" Type="http://schemas.openxmlformats.org/officeDocument/2006/relationships/hyperlink" Target="https://maps.app.goo.gl/56uLnH9PcqFhu3Ww9" TargetMode="External"/><Relationship Id="rId150" Type="http://schemas.openxmlformats.org/officeDocument/2006/relationships/hyperlink" Target="https://maps.app.goo.gl/EZMfZrvHzmT3FK1m6" TargetMode="External"/><Relationship Id="rId192" Type="http://schemas.openxmlformats.org/officeDocument/2006/relationships/hyperlink" Target="https://maps.app.goo.gl/areTEFdno8VPnn5V7" TargetMode="External"/><Relationship Id="rId206" Type="http://schemas.openxmlformats.org/officeDocument/2006/relationships/hyperlink" Target="https://maps.app.goo.gl/qH3XPDtRq4H8szHk8" TargetMode="External"/><Relationship Id="rId248" Type="http://schemas.openxmlformats.org/officeDocument/2006/relationships/hyperlink" Target="https://maps.app.goo.gl/j2nTiNoD48Te77oXA" TargetMode="External"/><Relationship Id="rId12" Type="http://schemas.openxmlformats.org/officeDocument/2006/relationships/hyperlink" Target="https://maps.app.goo.gl/pMxgUUTUUSEtVPFB8" TargetMode="External"/><Relationship Id="rId108" Type="http://schemas.openxmlformats.org/officeDocument/2006/relationships/hyperlink" Target="https://maps.app.goo.gl/Dbtzbys5wWtjggn97" TargetMode="External"/><Relationship Id="rId54" Type="http://schemas.openxmlformats.org/officeDocument/2006/relationships/hyperlink" Target="https://maps.app.goo.gl/9uCm4jC7Q2qHkrmq9" TargetMode="External"/><Relationship Id="rId96" Type="http://schemas.openxmlformats.org/officeDocument/2006/relationships/hyperlink" Target="https://maps.app.goo.gl/q6jTvwsWxW7TTFJeA" TargetMode="External"/><Relationship Id="rId161" Type="http://schemas.openxmlformats.org/officeDocument/2006/relationships/hyperlink" Target="https://maps.app.goo.gl/8MSaPeXj9U9Nv9z2A" TargetMode="External"/><Relationship Id="rId217" Type="http://schemas.openxmlformats.org/officeDocument/2006/relationships/hyperlink" Target="https://maps.app.goo.gl/UNsrtNT5wggWkhJY6" TargetMode="External"/><Relationship Id="rId6" Type="http://schemas.openxmlformats.org/officeDocument/2006/relationships/hyperlink" Target="https://maps.app.goo.gl/QNWKnhprAJ5gZAmUA" TargetMode="External"/><Relationship Id="rId238" Type="http://schemas.openxmlformats.org/officeDocument/2006/relationships/hyperlink" Target="https://maps.app.goo.gl/rtH5fN1xqASULepG7" TargetMode="External"/><Relationship Id="rId259" Type="http://schemas.openxmlformats.org/officeDocument/2006/relationships/hyperlink" Target="https://maps.app.goo.gl/pJEgvitVF6LfkWQ99" TargetMode="External"/><Relationship Id="rId23" Type="http://schemas.openxmlformats.org/officeDocument/2006/relationships/hyperlink" Target="https://maps.app.goo.gl/FyP4BF3uzXvpEooY7" TargetMode="External"/><Relationship Id="rId119" Type="http://schemas.openxmlformats.org/officeDocument/2006/relationships/hyperlink" Target="https://maps.app.goo.gl/SwrA5ZcB5FidQSLc8" TargetMode="External"/><Relationship Id="rId270" Type="http://schemas.openxmlformats.org/officeDocument/2006/relationships/hyperlink" Target="https://maps.app.goo.gl/2U63iubCrh786xiK9" TargetMode="External"/><Relationship Id="rId291" Type="http://schemas.openxmlformats.org/officeDocument/2006/relationships/hyperlink" Target="https://maps.app.goo.gl/Lhr7GNA1W6tSA2iS6" TargetMode="External"/><Relationship Id="rId44" Type="http://schemas.openxmlformats.org/officeDocument/2006/relationships/hyperlink" Target="https://maps.app.goo.gl/CsAEDguBHZGFiHQP6" TargetMode="External"/><Relationship Id="rId65" Type="http://schemas.openxmlformats.org/officeDocument/2006/relationships/hyperlink" Target="https://maps.app.goo.gl/qC8LoaP2qSVdkPuBA" TargetMode="External"/><Relationship Id="rId86" Type="http://schemas.openxmlformats.org/officeDocument/2006/relationships/hyperlink" Target="https://maps.app.goo.gl/wptQJDBKo7tC7L4R8" TargetMode="External"/><Relationship Id="rId130" Type="http://schemas.openxmlformats.org/officeDocument/2006/relationships/hyperlink" Target="https://maps.app.goo.gl/qn6M7nXQ3LdAEt497" TargetMode="External"/><Relationship Id="rId151" Type="http://schemas.openxmlformats.org/officeDocument/2006/relationships/hyperlink" Target="https://maps.app.goo.gl/CqEbtZhV8y1mQKqy7" TargetMode="External"/><Relationship Id="rId172" Type="http://schemas.openxmlformats.org/officeDocument/2006/relationships/hyperlink" Target="https://maps.app.goo.gl/6t8Q4o9LR9EZcAv56" TargetMode="External"/><Relationship Id="rId193" Type="http://schemas.openxmlformats.org/officeDocument/2006/relationships/hyperlink" Target="https://maps.app.goo.gl/wDicK1asnHRc2XUy6" TargetMode="External"/><Relationship Id="rId207" Type="http://schemas.openxmlformats.org/officeDocument/2006/relationships/hyperlink" Target="https://maps.app.goo.gl/YJKk2YKHJMg8LVjB6" TargetMode="External"/><Relationship Id="rId228" Type="http://schemas.openxmlformats.org/officeDocument/2006/relationships/hyperlink" Target="https://maps.app.goo.gl/EZ1zfkbPERP4MD9Z9" TargetMode="External"/><Relationship Id="rId249" Type="http://schemas.openxmlformats.org/officeDocument/2006/relationships/hyperlink" Target="https://maps.app.goo.gl/sbneKqdwRbKKwSc99" TargetMode="External"/><Relationship Id="rId13" Type="http://schemas.openxmlformats.org/officeDocument/2006/relationships/hyperlink" Target="https://maps.app.goo.gl/Lxyosg9qh5Uzt96W8" TargetMode="External"/><Relationship Id="rId109" Type="http://schemas.openxmlformats.org/officeDocument/2006/relationships/hyperlink" Target="https://maps.app.goo.gl/H2q4Lp4jFQjuu8Nf6" TargetMode="External"/><Relationship Id="rId260" Type="http://schemas.openxmlformats.org/officeDocument/2006/relationships/hyperlink" Target="https://maps.app.goo.gl/R8n6KZiDRfFLE3Pw6" TargetMode="External"/><Relationship Id="rId281" Type="http://schemas.openxmlformats.org/officeDocument/2006/relationships/hyperlink" Target="https://maps.app.goo.gl/DX8wk2FGCwqqVwWJ6" TargetMode="External"/><Relationship Id="rId34" Type="http://schemas.openxmlformats.org/officeDocument/2006/relationships/hyperlink" Target="https://maps.app.goo.gl/ZyPzrULx1MLcovEJ8" TargetMode="External"/><Relationship Id="rId55" Type="http://schemas.openxmlformats.org/officeDocument/2006/relationships/hyperlink" Target="https://maps.app.goo.gl/197YRXHqCadzhMuHA" TargetMode="External"/><Relationship Id="rId76" Type="http://schemas.openxmlformats.org/officeDocument/2006/relationships/hyperlink" Target="https://maps.app.goo.gl/RKNF15HCVty8jory8" TargetMode="External"/><Relationship Id="rId97" Type="http://schemas.openxmlformats.org/officeDocument/2006/relationships/hyperlink" Target="https://maps.app.goo.gl/F8tK9hkQEG2WWPM39" TargetMode="External"/><Relationship Id="rId120" Type="http://schemas.openxmlformats.org/officeDocument/2006/relationships/hyperlink" Target="https://maps.app.goo.gl/Tytywporv6e9L9qJ8" TargetMode="External"/><Relationship Id="rId141" Type="http://schemas.openxmlformats.org/officeDocument/2006/relationships/hyperlink" Target="https://maps.app.goo.gl/XgTYdaGrEx6fqsAu7" TargetMode="External"/><Relationship Id="rId7" Type="http://schemas.openxmlformats.org/officeDocument/2006/relationships/hyperlink" Target="https://maps.app.goo.gl/34fGKMS5i3FvqevD6" TargetMode="External"/><Relationship Id="rId162" Type="http://schemas.openxmlformats.org/officeDocument/2006/relationships/hyperlink" Target="https://maps.app.goo.gl/KBGUaph3xW5YxFxL9" TargetMode="External"/><Relationship Id="rId183" Type="http://schemas.openxmlformats.org/officeDocument/2006/relationships/hyperlink" Target="https://maps.app.goo.gl/QWTrvUPPMqTB1SMq6" TargetMode="External"/><Relationship Id="rId218" Type="http://schemas.openxmlformats.org/officeDocument/2006/relationships/hyperlink" Target="https://maps.app.goo.gl/ss93NukzhwUkbGGW6" TargetMode="External"/><Relationship Id="rId239" Type="http://schemas.openxmlformats.org/officeDocument/2006/relationships/hyperlink" Target="https://maps.app.goo.gl/poKEZjsaYRqQ4Jou9" TargetMode="External"/><Relationship Id="rId250" Type="http://schemas.openxmlformats.org/officeDocument/2006/relationships/hyperlink" Target="https://maps.app.goo.gl/McwUurVvyMkMqJgL9" TargetMode="External"/><Relationship Id="rId271" Type="http://schemas.openxmlformats.org/officeDocument/2006/relationships/hyperlink" Target="https://maps.app.goo.gl/QYE7UDQKzT5a1qXr7" TargetMode="External"/><Relationship Id="rId292" Type="http://schemas.openxmlformats.org/officeDocument/2006/relationships/hyperlink" Target="https://maps.app.goo.gl/DVq9KBV5KKXCJGjT9" TargetMode="External"/><Relationship Id="rId24" Type="http://schemas.openxmlformats.org/officeDocument/2006/relationships/hyperlink" Target="https://maps.app.goo.gl/AFuuhnb64qJoRAt88" TargetMode="External"/><Relationship Id="rId45" Type="http://schemas.openxmlformats.org/officeDocument/2006/relationships/hyperlink" Target="https://maps.app.goo.gl/FsvtpMXYpY3Jrcmt9" TargetMode="External"/><Relationship Id="rId66" Type="http://schemas.openxmlformats.org/officeDocument/2006/relationships/hyperlink" Target="https://maps.app.goo.gl/59cM2ovhQFrRqeYu7" TargetMode="External"/><Relationship Id="rId87" Type="http://schemas.openxmlformats.org/officeDocument/2006/relationships/hyperlink" Target="https://maps.app.goo.gl/2LDU72bgKZLvmGTj8" TargetMode="External"/><Relationship Id="rId110" Type="http://schemas.openxmlformats.org/officeDocument/2006/relationships/hyperlink" Target="https://maps.app.goo.gl/1ESn5BX3ArcJ1BSSA" TargetMode="External"/><Relationship Id="rId131" Type="http://schemas.openxmlformats.org/officeDocument/2006/relationships/hyperlink" Target="https://maps.app.goo.gl/fjioowMvrDhzPpEu7" TargetMode="External"/><Relationship Id="rId152" Type="http://schemas.openxmlformats.org/officeDocument/2006/relationships/hyperlink" Target="https://maps.app.goo.gl/gvheLsQEEs1UjpW18" TargetMode="External"/><Relationship Id="rId173" Type="http://schemas.openxmlformats.org/officeDocument/2006/relationships/hyperlink" Target="https://maps.app.goo.gl/m4U7G5LYLi2P63wk6" TargetMode="External"/><Relationship Id="rId194" Type="http://schemas.openxmlformats.org/officeDocument/2006/relationships/hyperlink" Target="https://maps.app.goo.gl/KkTMDF1kW1nyHHxz5" TargetMode="External"/><Relationship Id="rId208" Type="http://schemas.openxmlformats.org/officeDocument/2006/relationships/hyperlink" Target="https://maps.app.goo.gl/UQLBrWnu4Xob1EEC8" TargetMode="External"/><Relationship Id="rId229" Type="http://schemas.openxmlformats.org/officeDocument/2006/relationships/hyperlink" Target="https://maps.app.goo.gl/TgpFra9btuiWvDsW8" TargetMode="External"/><Relationship Id="rId240" Type="http://schemas.openxmlformats.org/officeDocument/2006/relationships/hyperlink" Target="https://maps.app.goo.gl/ypcLrYhsppvcW9VH6" TargetMode="External"/><Relationship Id="rId261" Type="http://schemas.openxmlformats.org/officeDocument/2006/relationships/hyperlink" Target="https://maps.app.goo.gl/EYP6XF4H1wmHNwtq7" TargetMode="External"/><Relationship Id="rId14" Type="http://schemas.openxmlformats.org/officeDocument/2006/relationships/hyperlink" Target="https://maps.app.goo.gl/TR15mrcLyrQAqcLN6" TargetMode="External"/><Relationship Id="rId35" Type="http://schemas.openxmlformats.org/officeDocument/2006/relationships/hyperlink" Target="https://maps.app.goo.gl/usXKu7wZoNXa4RJU8" TargetMode="External"/><Relationship Id="rId56" Type="http://schemas.openxmlformats.org/officeDocument/2006/relationships/hyperlink" Target="https://maps.app.goo.gl/i62fbrymDr2ywgAs9" TargetMode="External"/><Relationship Id="rId77" Type="http://schemas.openxmlformats.org/officeDocument/2006/relationships/hyperlink" Target="https://maps.app.goo.gl/A8yfhyUFYDRn88Sm6" TargetMode="External"/><Relationship Id="rId100" Type="http://schemas.openxmlformats.org/officeDocument/2006/relationships/hyperlink" Target="https://maps.app.goo.gl/iUG2bzgzJi79AJVJ6" TargetMode="External"/><Relationship Id="rId282" Type="http://schemas.openxmlformats.org/officeDocument/2006/relationships/hyperlink" Target="https://maps.app.goo.gl/avSoLBL7ZoiikyGr5" TargetMode="External"/><Relationship Id="rId8" Type="http://schemas.openxmlformats.org/officeDocument/2006/relationships/hyperlink" Target="https://maps.app.goo.gl/BGEzEjtYC9VTef3w5" TargetMode="External"/><Relationship Id="rId98" Type="http://schemas.openxmlformats.org/officeDocument/2006/relationships/hyperlink" Target="https://maps.app.goo.gl/p5siA6LFyDgwpjqv6" TargetMode="External"/><Relationship Id="rId121" Type="http://schemas.openxmlformats.org/officeDocument/2006/relationships/hyperlink" Target="https://maps.app.goo.gl/51RHJ8f66GdxhXgs9" TargetMode="External"/><Relationship Id="rId142" Type="http://schemas.openxmlformats.org/officeDocument/2006/relationships/hyperlink" Target="https://maps.app.goo.gl/97BiekZKyXQzMJJi7" TargetMode="External"/><Relationship Id="rId163" Type="http://schemas.openxmlformats.org/officeDocument/2006/relationships/hyperlink" Target="https://maps.app.goo.gl/wrzSq3AgwqTW5VXc8" TargetMode="External"/><Relationship Id="rId184" Type="http://schemas.openxmlformats.org/officeDocument/2006/relationships/hyperlink" Target="https://maps.app.goo.gl/F9FsoccepN8fxVSG7" TargetMode="External"/><Relationship Id="rId219" Type="http://schemas.openxmlformats.org/officeDocument/2006/relationships/hyperlink" Target="https://maps.app.goo.gl/3nGf7tMoy8p2by256" TargetMode="External"/><Relationship Id="rId230" Type="http://schemas.openxmlformats.org/officeDocument/2006/relationships/hyperlink" Target="https://maps.app.goo.gl/sRmdtqWSxyuBhgKN9" TargetMode="External"/><Relationship Id="rId251" Type="http://schemas.openxmlformats.org/officeDocument/2006/relationships/hyperlink" Target="https://maps.app.goo.gl/1eFKWkjmXtqrAse57" TargetMode="External"/><Relationship Id="rId25" Type="http://schemas.openxmlformats.org/officeDocument/2006/relationships/hyperlink" Target="https://maps.app.goo.gl/RKG9c9JhXiFJGTtx7" TargetMode="External"/><Relationship Id="rId46" Type="http://schemas.openxmlformats.org/officeDocument/2006/relationships/hyperlink" Target="https://maps.app.goo.gl/45hhNy6bHoTqzG929" TargetMode="External"/><Relationship Id="rId67" Type="http://schemas.openxmlformats.org/officeDocument/2006/relationships/hyperlink" Target="https://maps.app.goo.gl/VwAu5bggYmEte2p17" TargetMode="External"/><Relationship Id="rId272" Type="http://schemas.openxmlformats.org/officeDocument/2006/relationships/hyperlink" Target="https://maps.app.goo.gl/px7TFBKq2xdRpagU9" TargetMode="External"/><Relationship Id="rId293" Type="http://schemas.openxmlformats.org/officeDocument/2006/relationships/hyperlink" Target="https://maps.app.goo.gl/h8MahW6yii6aTBjQ9" TargetMode="External"/><Relationship Id="rId88" Type="http://schemas.openxmlformats.org/officeDocument/2006/relationships/hyperlink" Target="https://maps.app.goo.gl/YneA4FF1jhaUt55B8" TargetMode="External"/><Relationship Id="rId111" Type="http://schemas.openxmlformats.org/officeDocument/2006/relationships/hyperlink" Target="https://maps.app.goo.gl/nB7mK7qpmDxMKnwL6" TargetMode="External"/><Relationship Id="rId132" Type="http://schemas.openxmlformats.org/officeDocument/2006/relationships/hyperlink" Target="https://maps.app.goo.gl/C9cdn77fWRqoD29r7" TargetMode="External"/><Relationship Id="rId153" Type="http://schemas.openxmlformats.org/officeDocument/2006/relationships/hyperlink" Target="https://maps.app.goo.gl/7pUYT7tWqhG7QUs86" TargetMode="External"/><Relationship Id="rId174" Type="http://schemas.openxmlformats.org/officeDocument/2006/relationships/hyperlink" Target="https://maps.app.goo.gl/zXnWuSi8BLvvwbbLA" TargetMode="External"/><Relationship Id="rId195" Type="http://schemas.openxmlformats.org/officeDocument/2006/relationships/hyperlink" Target="https://maps.app.goo.gl/Q8MgC11NoCLoAHqA9" TargetMode="External"/><Relationship Id="rId209" Type="http://schemas.openxmlformats.org/officeDocument/2006/relationships/hyperlink" Target="https://maps.app.goo.gl/r4f5MGbzJ4MMfCBaA" TargetMode="External"/><Relationship Id="rId220" Type="http://schemas.openxmlformats.org/officeDocument/2006/relationships/hyperlink" Target="https://maps.app.goo.gl/qCqY4imswcPLrVvK9" TargetMode="External"/><Relationship Id="rId241" Type="http://schemas.openxmlformats.org/officeDocument/2006/relationships/hyperlink" Target="https://maps.app.goo.gl/8dcHQ3USzeQQqv6C8" TargetMode="External"/><Relationship Id="rId15" Type="http://schemas.openxmlformats.org/officeDocument/2006/relationships/hyperlink" Target="https://maps.app.goo.gl/Be8qfRo1rLCJyD2X8" TargetMode="External"/><Relationship Id="rId36" Type="http://schemas.openxmlformats.org/officeDocument/2006/relationships/hyperlink" Target="https://maps.app.goo.gl/QkSgQsQW6eALbCGq5" TargetMode="External"/><Relationship Id="rId57" Type="http://schemas.openxmlformats.org/officeDocument/2006/relationships/hyperlink" Target="https://maps.app.goo.gl/KCtAogUL9paaXwb1A" TargetMode="External"/><Relationship Id="rId262" Type="http://schemas.openxmlformats.org/officeDocument/2006/relationships/hyperlink" Target="https://maps.app.goo.gl/5dh9pFhJSZCrfcsU7" TargetMode="External"/><Relationship Id="rId283" Type="http://schemas.openxmlformats.org/officeDocument/2006/relationships/hyperlink" Target="https://maps.app.goo.gl/HbavHWZzPp2iiKpaA" TargetMode="External"/><Relationship Id="rId78" Type="http://schemas.openxmlformats.org/officeDocument/2006/relationships/hyperlink" Target="https://maps.app.goo.gl/DdihNnVqnqBeahwW6" TargetMode="External"/><Relationship Id="rId99" Type="http://schemas.openxmlformats.org/officeDocument/2006/relationships/hyperlink" Target="https://maps.app.goo.gl/xVgiX6PVeQwJFFMn9" TargetMode="External"/><Relationship Id="rId101" Type="http://schemas.openxmlformats.org/officeDocument/2006/relationships/hyperlink" Target="https://maps.app.goo.gl/rVmMcUmL29mr7ncC8" TargetMode="External"/><Relationship Id="rId122" Type="http://schemas.openxmlformats.org/officeDocument/2006/relationships/hyperlink" Target="https://maps.app.goo.gl/TvqHZpg1UKcyHJyA8" TargetMode="External"/><Relationship Id="rId143" Type="http://schemas.openxmlformats.org/officeDocument/2006/relationships/hyperlink" Target="https://maps.app.goo.gl/mKBQkSiMZdwSUpW86" TargetMode="External"/><Relationship Id="rId164" Type="http://schemas.openxmlformats.org/officeDocument/2006/relationships/hyperlink" Target="https://maps.app.goo.gl/efghyper893HRvwb7" TargetMode="External"/><Relationship Id="rId185" Type="http://schemas.openxmlformats.org/officeDocument/2006/relationships/hyperlink" Target="https://maps.app.goo.gl/AnMjBgcs5yf8a5RB9" TargetMode="External"/><Relationship Id="rId9" Type="http://schemas.openxmlformats.org/officeDocument/2006/relationships/hyperlink" Target="https://maps.app.goo.gl/szZhHoHRyeno9ibX7" TargetMode="External"/><Relationship Id="rId210" Type="http://schemas.openxmlformats.org/officeDocument/2006/relationships/hyperlink" Target="https://maps.app.goo.gl/F3t4iiRuPTXcUGnUA" TargetMode="External"/><Relationship Id="rId26" Type="http://schemas.openxmlformats.org/officeDocument/2006/relationships/hyperlink" Target="https://maps.app.goo.gl/frsVWbfV96yfbUWF7" TargetMode="External"/><Relationship Id="rId231" Type="http://schemas.openxmlformats.org/officeDocument/2006/relationships/hyperlink" Target="https://maps.app.goo.gl/RZUwFGSjhCmVshGM9" TargetMode="External"/><Relationship Id="rId252" Type="http://schemas.openxmlformats.org/officeDocument/2006/relationships/hyperlink" Target="https://maps.app.goo.gl/y3j7Bu67HpoTF5yG7" TargetMode="External"/><Relationship Id="rId273" Type="http://schemas.openxmlformats.org/officeDocument/2006/relationships/hyperlink" Target="https://maps.app.goo.gl/E6qg3MmRHLnd9SV18" TargetMode="External"/><Relationship Id="rId294" Type="http://schemas.openxmlformats.org/officeDocument/2006/relationships/hyperlink" Target="https://maps.app.goo.gl/RWyvkQ91hoHLPvZw9" TargetMode="External"/><Relationship Id="rId47" Type="http://schemas.openxmlformats.org/officeDocument/2006/relationships/hyperlink" Target="https://maps.app.goo.gl/jVkBQSgrtuf3gqJRA" TargetMode="External"/><Relationship Id="rId68" Type="http://schemas.openxmlformats.org/officeDocument/2006/relationships/hyperlink" Target="https://maps.app.goo.gl/hMZSxEShQfdTNh7V7" TargetMode="External"/><Relationship Id="rId89" Type="http://schemas.openxmlformats.org/officeDocument/2006/relationships/hyperlink" Target="https://maps.app.goo.gl/vQJ7eVKJ24R2eKJV6" TargetMode="External"/><Relationship Id="rId112" Type="http://schemas.openxmlformats.org/officeDocument/2006/relationships/hyperlink" Target="https://maps.app.goo.gl/7h6bMfWzw2pGAjCCA" TargetMode="External"/><Relationship Id="rId133" Type="http://schemas.openxmlformats.org/officeDocument/2006/relationships/hyperlink" Target="https://maps.app.goo.gl/3Z7y8Fhcr4AjuDnd8" TargetMode="External"/><Relationship Id="rId154" Type="http://schemas.openxmlformats.org/officeDocument/2006/relationships/hyperlink" Target="https://maps.app.goo.gl/pufYMAVjBvWetAGu8" TargetMode="External"/><Relationship Id="rId175" Type="http://schemas.openxmlformats.org/officeDocument/2006/relationships/hyperlink" Target="https://maps.app.goo.gl/bBcQbMqHTxLoyGnH6" TargetMode="External"/><Relationship Id="rId196" Type="http://schemas.openxmlformats.org/officeDocument/2006/relationships/hyperlink" Target="https://maps.app.goo.gl/ktUJrggvkBAWFapg8" TargetMode="External"/><Relationship Id="rId200" Type="http://schemas.openxmlformats.org/officeDocument/2006/relationships/hyperlink" Target="https://maps.app.goo.gl/RLRHGDCR8E5Myrz76" TargetMode="External"/><Relationship Id="rId16" Type="http://schemas.openxmlformats.org/officeDocument/2006/relationships/hyperlink" Target="https://maps.app.goo.gl/CC1a4SD9SUgxzgDW7" TargetMode="External"/><Relationship Id="rId221" Type="http://schemas.openxmlformats.org/officeDocument/2006/relationships/hyperlink" Target="https://maps.app.goo.gl/Nbd7HTETtWZ5fr2q8" TargetMode="External"/><Relationship Id="rId242" Type="http://schemas.openxmlformats.org/officeDocument/2006/relationships/hyperlink" Target="https://maps.app.goo.gl/3X2AT9GaaPfLUsZw7" TargetMode="External"/><Relationship Id="rId263" Type="http://schemas.openxmlformats.org/officeDocument/2006/relationships/hyperlink" Target="https://maps.app.goo.gl/hRLgL4vzpT48YYh9A" TargetMode="External"/><Relationship Id="rId284" Type="http://schemas.openxmlformats.org/officeDocument/2006/relationships/hyperlink" Target="https://maps.app.goo.gl/XZzySez27gdwPd6o9" TargetMode="External"/><Relationship Id="rId37" Type="http://schemas.openxmlformats.org/officeDocument/2006/relationships/hyperlink" Target="https://maps.app.goo.gl/shnWCrSFoBxKWcqE9" TargetMode="External"/><Relationship Id="rId58" Type="http://schemas.openxmlformats.org/officeDocument/2006/relationships/hyperlink" Target="https://maps.app.goo.gl/S5SvDJVRwUD4jY1JA" TargetMode="External"/><Relationship Id="rId79" Type="http://schemas.openxmlformats.org/officeDocument/2006/relationships/hyperlink" Target="https://maps.app.goo.gl/JHnpWDgSJXyPiaxB7" TargetMode="External"/><Relationship Id="rId102" Type="http://schemas.openxmlformats.org/officeDocument/2006/relationships/hyperlink" Target="https://maps.app.goo.gl/K2VQw26SGWpvXiEm9" TargetMode="External"/><Relationship Id="rId123" Type="http://schemas.openxmlformats.org/officeDocument/2006/relationships/hyperlink" Target="https://maps.app.goo.gl/KDa9JrLdtwsTVVvUA" TargetMode="External"/><Relationship Id="rId144" Type="http://schemas.openxmlformats.org/officeDocument/2006/relationships/hyperlink" Target="https://maps.app.goo.gl/hbAMYBHfA6r6Fkr46" TargetMode="External"/><Relationship Id="rId90" Type="http://schemas.openxmlformats.org/officeDocument/2006/relationships/hyperlink" Target="https://maps.app.goo.gl/G5kAV5PPHoegSQdB7" TargetMode="External"/><Relationship Id="rId165" Type="http://schemas.openxmlformats.org/officeDocument/2006/relationships/hyperlink" Target="https://maps.app.goo.gl/Y4WVcF48CYPsvNMP8" TargetMode="External"/><Relationship Id="rId186" Type="http://schemas.openxmlformats.org/officeDocument/2006/relationships/hyperlink" Target="https://maps.app.goo.gl/CSzVstPSDNLdCmwQ6" TargetMode="External"/><Relationship Id="rId211" Type="http://schemas.openxmlformats.org/officeDocument/2006/relationships/hyperlink" Target="https://maps.app.goo.gl/hryoHK2H3qz26dN98" TargetMode="External"/><Relationship Id="rId232" Type="http://schemas.openxmlformats.org/officeDocument/2006/relationships/hyperlink" Target="https://maps.app.goo.gl/MTqv4uMzowXmNwEx7" TargetMode="External"/><Relationship Id="rId253" Type="http://schemas.openxmlformats.org/officeDocument/2006/relationships/hyperlink" Target="https://maps.app.goo.gl/xb2DNxeZDDDfmHRS8" TargetMode="External"/><Relationship Id="rId274" Type="http://schemas.openxmlformats.org/officeDocument/2006/relationships/hyperlink" Target="https://maps.app.goo.gl/H4wNZ2sCC3Fn45AP9" TargetMode="External"/><Relationship Id="rId295" Type="http://schemas.openxmlformats.org/officeDocument/2006/relationships/hyperlink" Target="https://maps.app.goo.gl/91WGK16EK8MmVYxG8" TargetMode="External"/><Relationship Id="rId27" Type="http://schemas.openxmlformats.org/officeDocument/2006/relationships/hyperlink" Target="https://maps.app.goo.gl/bHUXrRLsucc9XXCn7" TargetMode="External"/><Relationship Id="rId48" Type="http://schemas.openxmlformats.org/officeDocument/2006/relationships/hyperlink" Target="https://maps.app.goo.gl/RXjdq8D4BvSQjY1r6" TargetMode="External"/><Relationship Id="rId69" Type="http://schemas.openxmlformats.org/officeDocument/2006/relationships/hyperlink" Target="https://maps.app.goo.gl/Mbyhtkk8skYYiN1q8" TargetMode="External"/><Relationship Id="rId113" Type="http://schemas.openxmlformats.org/officeDocument/2006/relationships/hyperlink" Target="https://maps.app.goo.gl/wNCCaFrba6RjNLHf9" TargetMode="External"/><Relationship Id="rId134" Type="http://schemas.openxmlformats.org/officeDocument/2006/relationships/hyperlink" Target="https://maps.app.goo.gl/c87esYVzxAdXofpD9" TargetMode="External"/><Relationship Id="rId80" Type="http://schemas.openxmlformats.org/officeDocument/2006/relationships/hyperlink" Target="https://maps.app.goo.gl/MQ7P8YbDAftJptha9" TargetMode="External"/><Relationship Id="rId155" Type="http://schemas.openxmlformats.org/officeDocument/2006/relationships/hyperlink" Target="https://maps.app.goo.gl/FvcNQMJSpgww2Hv7A" TargetMode="External"/><Relationship Id="rId176" Type="http://schemas.openxmlformats.org/officeDocument/2006/relationships/hyperlink" Target="https://maps.app.goo.gl/7mbsUxP3eY37PbU96" TargetMode="External"/><Relationship Id="rId197" Type="http://schemas.openxmlformats.org/officeDocument/2006/relationships/hyperlink" Target="https://maps.app.goo.gl/XbboprSC6sEMmY9z5" TargetMode="External"/><Relationship Id="rId201" Type="http://schemas.openxmlformats.org/officeDocument/2006/relationships/hyperlink" Target="https://maps.app.goo.gl/yqC2wGJt7YZoQYPG7" TargetMode="External"/><Relationship Id="rId222" Type="http://schemas.openxmlformats.org/officeDocument/2006/relationships/hyperlink" Target="https://maps.app.goo.gl/29JV5JB6rjyWHyxQA" TargetMode="External"/><Relationship Id="rId243" Type="http://schemas.openxmlformats.org/officeDocument/2006/relationships/hyperlink" Target="https://maps.app.goo.gl/zVBeL5pWbrGfxkSa7" TargetMode="External"/><Relationship Id="rId264" Type="http://schemas.openxmlformats.org/officeDocument/2006/relationships/hyperlink" Target="https://maps.app.goo.gl/6qwJ2jqBntNpsxCq9" TargetMode="External"/><Relationship Id="rId285" Type="http://schemas.openxmlformats.org/officeDocument/2006/relationships/hyperlink" Target="https://maps.app.goo.gl/bdRASB34szttVtTNA" TargetMode="External"/><Relationship Id="rId17" Type="http://schemas.openxmlformats.org/officeDocument/2006/relationships/hyperlink" Target="https://maps.app.goo.gl/dZDq1dyg4zxVBXdr7" TargetMode="External"/><Relationship Id="rId38" Type="http://schemas.openxmlformats.org/officeDocument/2006/relationships/hyperlink" Target="https://maps.app.goo.gl/jQPpds4zfikgE1c5A" TargetMode="External"/><Relationship Id="rId59" Type="http://schemas.openxmlformats.org/officeDocument/2006/relationships/hyperlink" Target="https://maps.app.goo.gl/9QQz9yYaqorifrxK6" TargetMode="External"/><Relationship Id="rId103" Type="http://schemas.openxmlformats.org/officeDocument/2006/relationships/hyperlink" Target="https://maps.app.goo.gl/2jvbcXwEsGKPAHL58" TargetMode="External"/><Relationship Id="rId124" Type="http://schemas.openxmlformats.org/officeDocument/2006/relationships/hyperlink" Target="https://maps.app.goo.gl/foFGV417Wxnueri59" TargetMode="External"/><Relationship Id="rId70" Type="http://schemas.openxmlformats.org/officeDocument/2006/relationships/hyperlink" Target="https://maps.app.goo.gl/2SgwR23P63Bd9Trz8" TargetMode="External"/><Relationship Id="rId91" Type="http://schemas.openxmlformats.org/officeDocument/2006/relationships/hyperlink" Target="https://maps.app.goo.gl/WzwzEXQY2ZoRH7pY8" TargetMode="External"/><Relationship Id="rId145" Type="http://schemas.openxmlformats.org/officeDocument/2006/relationships/hyperlink" Target="https://maps.app.goo.gl/Niebe8kvJMLAUbya6" TargetMode="External"/><Relationship Id="rId166" Type="http://schemas.openxmlformats.org/officeDocument/2006/relationships/hyperlink" Target="https://maps.app.goo.gl/QR4cqRFLmMY3ok516" TargetMode="External"/><Relationship Id="rId187" Type="http://schemas.openxmlformats.org/officeDocument/2006/relationships/hyperlink" Target="https://maps.app.goo.gl/QAZHK8YLJpUk5GsF6" TargetMode="External"/><Relationship Id="rId1" Type="http://schemas.openxmlformats.org/officeDocument/2006/relationships/hyperlink" Target="http://s.no/" TargetMode="External"/><Relationship Id="rId212" Type="http://schemas.openxmlformats.org/officeDocument/2006/relationships/hyperlink" Target="https://maps.app.goo.gl/6t8Q4o9LR9EZcAv56" TargetMode="External"/><Relationship Id="rId233" Type="http://schemas.openxmlformats.org/officeDocument/2006/relationships/hyperlink" Target="https://maps.app.goo.gl/SrbYEuozp4Wvr95G6" TargetMode="External"/><Relationship Id="rId254" Type="http://schemas.openxmlformats.org/officeDocument/2006/relationships/hyperlink" Target="https://maps.app.goo.gl/6jq5A8nWATbQfZHx9" TargetMode="External"/><Relationship Id="rId28" Type="http://schemas.openxmlformats.org/officeDocument/2006/relationships/hyperlink" Target="https://maps.app.goo.gl/UZUchN6fm1TKEuWY6" TargetMode="External"/><Relationship Id="rId49" Type="http://schemas.openxmlformats.org/officeDocument/2006/relationships/hyperlink" Target="https://maps.app.goo.gl/Ys6fuFMtijcevnAC7" TargetMode="External"/><Relationship Id="rId114" Type="http://schemas.openxmlformats.org/officeDocument/2006/relationships/hyperlink" Target="https://maps.app.goo.gl/EACbVy89XByJGQdRA" TargetMode="External"/><Relationship Id="rId275" Type="http://schemas.openxmlformats.org/officeDocument/2006/relationships/hyperlink" Target="https://maps.app.goo.gl/76gEjcmfzPM1n1Pz9" TargetMode="External"/><Relationship Id="rId296" Type="http://schemas.openxmlformats.org/officeDocument/2006/relationships/hyperlink" Target="https://maps.app.goo.gl/HLTBEoMhCUiXNdsA9" TargetMode="External"/><Relationship Id="rId300" Type="http://schemas.openxmlformats.org/officeDocument/2006/relationships/comments" Target="../comments1.xml"/><Relationship Id="rId60" Type="http://schemas.openxmlformats.org/officeDocument/2006/relationships/hyperlink" Target="https://maps.app.goo.gl/YE4roBCuiiF8dqG68" TargetMode="External"/><Relationship Id="rId81" Type="http://schemas.openxmlformats.org/officeDocument/2006/relationships/hyperlink" Target="https://maps.app.goo.gl/VZLeYSocaZvi34rA7" TargetMode="External"/><Relationship Id="rId135" Type="http://schemas.openxmlformats.org/officeDocument/2006/relationships/hyperlink" Target="https://maps.app.goo.gl/7bG729yFDy8Dquzv5" TargetMode="External"/><Relationship Id="rId156" Type="http://schemas.openxmlformats.org/officeDocument/2006/relationships/hyperlink" Target="https://maps.app.goo.gl/xBF6RpzPfLdQwkNF8" TargetMode="External"/><Relationship Id="rId177" Type="http://schemas.openxmlformats.org/officeDocument/2006/relationships/hyperlink" Target="https://maps.app.goo.gl/2nCBY6bBpLvegbVt5" TargetMode="External"/><Relationship Id="rId198" Type="http://schemas.openxmlformats.org/officeDocument/2006/relationships/hyperlink" Target="https://maps.app.goo.gl/BpTbqEr4B6ZvmakJ8" TargetMode="External"/><Relationship Id="rId202" Type="http://schemas.openxmlformats.org/officeDocument/2006/relationships/hyperlink" Target="https://maps.app.goo.gl/MrfAvdVwLDPzqM3t5" TargetMode="External"/><Relationship Id="rId223" Type="http://schemas.openxmlformats.org/officeDocument/2006/relationships/hyperlink" Target="https://maps.app.goo.gl/qsku31xL88XC1mtz6" TargetMode="External"/><Relationship Id="rId244" Type="http://schemas.openxmlformats.org/officeDocument/2006/relationships/hyperlink" Target="https://maps.app.goo.gl/DrdRS2hry5sbyrsy8" TargetMode="External"/><Relationship Id="rId18" Type="http://schemas.openxmlformats.org/officeDocument/2006/relationships/hyperlink" Target="https://maps.app.goo.gl/X4HqRVDxn88dG3LF7" TargetMode="External"/><Relationship Id="rId39" Type="http://schemas.openxmlformats.org/officeDocument/2006/relationships/hyperlink" Target="https://maps.app.goo.gl/PUjWLajarpvgnGqP9" TargetMode="External"/><Relationship Id="rId265" Type="http://schemas.openxmlformats.org/officeDocument/2006/relationships/hyperlink" Target="https://maps.app.goo.gl/54K4dsA5JBvnXX6e6" TargetMode="External"/><Relationship Id="rId286" Type="http://schemas.openxmlformats.org/officeDocument/2006/relationships/hyperlink" Target="https://maps.app.goo.gl/sShNStGhCEYayiKs6" TargetMode="External"/><Relationship Id="rId50" Type="http://schemas.openxmlformats.org/officeDocument/2006/relationships/hyperlink" Target="https://maps.app.goo.gl/wa3uAPfebF1hxhZS8" TargetMode="External"/><Relationship Id="rId104" Type="http://schemas.openxmlformats.org/officeDocument/2006/relationships/hyperlink" Target="https://maps.app.goo.gl/CXPq8x649kh8iwZj8" TargetMode="External"/><Relationship Id="rId125" Type="http://schemas.openxmlformats.org/officeDocument/2006/relationships/hyperlink" Target="https://maps.app.goo.gl/GsQSibh1jXJxbPCw6" TargetMode="External"/><Relationship Id="rId146" Type="http://schemas.openxmlformats.org/officeDocument/2006/relationships/hyperlink" Target="https://maps.app.goo.gl/W18Kd3H9ZbDch8DJ9" TargetMode="External"/><Relationship Id="rId167" Type="http://schemas.openxmlformats.org/officeDocument/2006/relationships/hyperlink" Target="https://maps.app.goo.gl/RqgTZN6mZo8AcgBh8" TargetMode="External"/><Relationship Id="rId188" Type="http://schemas.openxmlformats.org/officeDocument/2006/relationships/hyperlink" Target="https://maps.app.goo.gl/tzP5a1PJ4xaizEjB9" TargetMode="External"/><Relationship Id="rId71" Type="http://schemas.openxmlformats.org/officeDocument/2006/relationships/hyperlink" Target="https://maps.app.goo.gl/dGP4GdMrgUUd24TP7" TargetMode="External"/><Relationship Id="rId92" Type="http://schemas.openxmlformats.org/officeDocument/2006/relationships/hyperlink" Target="https://maps.app.goo.gl/xzTF4X6YrxPkoC5t8" TargetMode="External"/><Relationship Id="rId213" Type="http://schemas.openxmlformats.org/officeDocument/2006/relationships/hyperlink" Target="https://maps.app.goo.gl/m4U7G5LYLi2P63wk6" TargetMode="External"/><Relationship Id="rId234" Type="http://schemas.openxmlformats.org/officeDocument/2006/relationships/hyperlink" Target="https://maps.app.goo.gl/E4wqyKBhc8MceAsk7" TargetMode="External"/><Relationship Id="rId2" Type="http://schemas.openxmlformats.org/officeDocument/2006/relationships/hyperlink" Target="https://maps.app.goo.gl/zQKMiLRnw9RziQSh6" TargetMode="External"/><Relationship Id="rId29" Type="http://schemas.openxmlformats.org/officeDocument/2006/relationships/hyperlink" Target="https://maps.app.goo.gl/HFf13V4A8E7P1mR58" TargetMode="External"/><Relationship Id="rId255" Type="http://schemas.openxmlformats.org/officeDocument/2006/relationships/hyperlink" Target="https://maps.app.goo.gl/VK8bYpz6nyTyLMGN9" TargetMode="External"/><Relationship Id="rId276" Type="http://schemas.openxmlformats.org/officeDocument/2006/relationships/hyperlink" Target="https://maps.app.goo.gl/XVmfK8y66mdWsi8r7" TargetMode="External"/><Relationship Id="rId297" Type="http://schemas.openxmlformats.org/officeDocument/2006/relationships/hyperlink" Target="https://maps.app.goo.gl/bjZegjkSwRA84cA4A" TargetMode="External"/><Relationship Id="rId40" Type="http://schemas.openxmlformats.org/officeDocument/2006/relationships/hyperlink" Target="https://maps.app.goo.gl/1uLJP4erCsEjCbMd6" TargetMode="External"/><Relationship Id="rId115" Type="http://schemas.openxmlformats.org/officeDocument/2006/relationships/hyperlink" Target="https://maps.app.goo.gl/grrXXfaY1uyCbcsy5" TargetMode="External"/><Relationship Id="rId136" Type="http://schemas.openxmlformats.org/officeDocument/2006/relationships/hyperlink" Target="https://maps.app.goo.gl/LnWJe9qFZrGnZbAm7" TargetMode="External"/><Relationship Id="rId157" Type="http://schemas.openxmlformats.org/officeDocument/2006/relationships/hyperlink" Target="https://maps.app.goo.gl/pqDpSkanN4e7VC788" TargetMode="External"/><Relationship Id="rId178" Type="http://schemas.openxmlformats.org/officeDocument/2006/relationships/hyperlink" Target="https://maps.app.goo.gl/ichyDJ2jqgMKHX2Z6" TargetMode="External"/><Relationship Id="rId301" Type="http://schemas.microsoft.com/office/2017/10/relationships/threadedComment" Target="../threadedComments/threadedComment1.xml"/><Relationship Id="rId61" Type="http://schemas.openxmlformats.org/officeDocument/2006/relationships/hyperlink" Target="https://maps.app.goo.gl/Gfifr5u1wPCaJgJd6" TargetMode="External"/><Relationship Id="rId82" Type="http://schemas.openxmlformats.org/officeDocument/2006/relationships/hyperlink" Target="https://maps.app.goo.gl/LaETxPhBRTNMm8gG7" TargetMode="External"/><Relationship Id="rId199" Type="http://schemas.openxmlformats.org/officeDocument/2006/relationships/hyperlink" Target="https://maps.app.goo.gl/mWViUJKs8Bf5pKFr9" TargetMode="External"/><Relationship Id="rId203" Type="http://schemas.openxmlformats.org/officeDocument/2006/relationships/hyperlink" Target="https://maps.app.goo.gl/FyaY9fg4MYmzZF4TA" TargetMode="External"/><Relationship Id="rId19" Type="http://schemas.openxmlformats.org/officeDocument/2006/relationships/hyperlink" Target="https://maps.app.goo.gl/RUoX6ZfrfkwUrXUR8" TargetMode="External"/><Relationship Id="rId224" Type="http://schemas.openxmlformats.org/officeDocument/2006/relationships/hyperlink" Target="https://maps.app.goo.gl/n3YXJ1WvBEfuoJkq6" TargetMode="External"/><Relationship Id="rId245" Type="http://schemas.openxmlformats.org/officeDocument/2006/relationships/hyperlink" Target="https://maps.app.goo.gl/QoJgDcTdngCAH9A16" TargetMode="External"/><Relationship Id="rId266" Type="http://schemas.openxmlformats.org/officeDocument/2006/relationships/hyperlink" Target="https://maps.app.goo.gl/RpbNPNnLj1sZSpBUA" TargetMode="External"/><Relationship Id="rId287" Type="http://schemas.openxmlformats.org/officeDocument/2006/relationships/hyperlink" Target="https://maps.app.goo.gl/Jo1DDFc4FsY4mn82A" TargetMode="External"/><Relationship Id="rId30" Type="http://schemas.openxmlformats.org/officeDocument/2006/relationships/hyperlink" Target="https://maps.app.goo.gl/KvKR3ZquYniyomrb6" TargetMode="External"/><Relationship Id="rId105" Type="http://schemas.openxmlformats.org/officeDocument/2006/relationships/hyperlink" Target="https://maps.app.goo.gl/XJ6owUw26tjsmy1t9" TargetMode="External"/><Relationship Id="rId126" Type="http://schemas.openxmlformats.org/officeDocument/2006/relationships/hyperlink" Target="https://maps.app.goo.gl/U59zpX9GZZAB3h3j8" TargetMode="External"/><Relationship Id="rId147" Type="http://schemas.openxmlformats.org/officeDocument/2006/relationships/hyperlink" Target="https://maps.app.goo.gl/9ihRAdderwHhXkdUA" TargetMode="External"/><Relationship Id="rId168" Type="http://schemas.openxmlformats.org/officeDocument/2006/relationships/hyperlink" Target="https://maps.app.goo.gl/4V4y8rLYVxZghnY28" TargetMode="External"/><Relationship Id="rId51" Type="http://schemas.openxmlformats.org/officeDocument/2006/relationships/hyperlink" Target="https://maps.app.goo.gl/K447TNTzTokUA7rc8" TargetMode="External"/><Relationship Id="rId72" Type="http://schemas.openxmlformats.org/officeDocument/2006/relationships/hyperlink" Target="https://maps.app.goo.gl/BsqUNhm3QBcC9PLn7" TargetMode="External"/><Relationship Id="rId93" Type="http://schemas.openxmlformats.org/officeDocument/2006/relationships/hyperlink" Target="https://maps.app.goo.gl/QYAcqpRcYNUMChMr6" TargetMode="External"/><Relationship Id="rId189" Type="http://schemas.openxmlformats.org/officeDocument/2006/relationships/hyperlink" Target="https://maps.app.goo.gl/WAGF3raXgK14D5PK8" TargetMode="External"/><Relationship Id="rId3" Type="http://schemas.openxmlformats.org/officeDocument/2006/relationships/hyperlink" Target="https://maps.app.goo.gl/jm5JRZPhwYTUJqSR9" TargetMode="External"/><Relationship Id="rId214" Type="http://schemas.openxmlformats.org/officeDocument/2006/relationships/hyperlink" Target="https://maps.app.goo.gl/zXnWuSi8BLvvwbbLA" TargetMode="External"/><Relationship Id="rId235" Type="http://schemas.openxmlformats.org/officeDocument/2006/relationships/hyperlink" Target="https://maps.app.goo.gl/ZKFjGfXVXmGTY92m6" TargetMode="External"/><Relationship Id="rId256" Type="http://schemas.openxmlformats.org/officeDocument/2006/relationships/hyperlink" Target="https://maps.app.goo.gl/bVa56rn7MDvG4Vdy9" TargetMode="External"/><Relationship Id="rId277" Type="http://schemas.openxmlformats.org/officeDocument/2006/relationships/hyperlink" Target="https://maps.app.goo.gl/VzCMTa1xKq4N8WMn9" TargetMode="External"/><Relationship Id="rId298" Type="http://schemas.openxmlformats.org/officeDocument/2006/relationships/hyperlink" Target="https://maps.app.goo.gl/DkL3kFFn3PD3UkxG6" TargetMode="External"/><Relationship Id="rId116" Type="http://schemas.openxmlformats.org/officeDocument/2006/relationships/hyperlink" Target="https://maps.app.goo.gl/ieFFtgXyY1A7RbTN9" TargetMode="External"/><Relationship Id="rId137" Type="http://schemas.openxmlformats.org/officeDocument/2006/relationships/hyperlink" Target="https://maps.app.goo.gl/oJ2mcdd7aV6b9UBPA" TargetMode="External"/><Relationship Id="rId158" Type="http://schemas.openxmlformats.org/officeDocument/2006/relationships/hyperlink" Target="https://maps.app.goo.gl/S8HFw67fa7vecWFX8" TargetMode="External"/><Relationship Id="rId20" Type="http://schemas.openxmlformats.org/officeDocument/2006/relationships/hyperlink" Target="https://maps.app.goo.gl/mRqMhvYnQCuBanHu8" TargetMode="External"/><Relationship Id="rId41" Type="http://schemas.openxmlformats.org/officeDocument/2006/relationships/hyperlink" Target="https://maps.app.goo.gl/g9RMzmWTWEuE1PSN9" TargetMode="External"/><Relationship Id="rId62" Type="http://schemas.openxmlformats.org/officeDocument/2006/relationships/hyperlink" Target="https://maps.app.goo.gl/9i9PJaGa1Pcj6XmM7" TargetMode="External"/><Relationship Id="rId83" Type="http://schemas.openxmlformats.org/officeDocument/2006/relationships/hyperlink" Target="https://maps.app.goo.gl/h3Pq3yVjwdgtUjFJ6" TargetMode="External"/><Relationship Id="rId179" Type="http://schemas.openxmlformats.org/officeDocument/2006/relationships/hyperlink" Target="https://maps.app.goo.gl/6Ma2ruogEqvcwHsb7" TargetMode="External"/><Relationship Id="rId190" Type="http://schemas.openxmlformats.org/officeDocument/2006/relationships/hyperlink" Target="https://maps.app.goo.gl/EHNcf8pSUF7o2WJY6" TargetMode="External"/><Relationship Id="rId204" Type="http://schemas.openxmlformats.org/officeDocument/2006/relationships/hyperlink" Target="https://maps.app.goo.gl/mHpPAbdXaeDmFJn2A" TargetMode="External"/><Relationship Id="rId225" Type="http://schemas.openxmlformats.org/officeDocument/2006/relationships/hyperlink" Target="https://maps.app.goo.gl/xUvpWVDZN6Fvc42q6" TargetMode="External"/><Relationship Id="rId246" Type="http://schemas.openxmlformats.org/officeDocument/2006/relationships/hyperlink" Target="https://maps.app.goo.gl/bU1PPanwjSNDoqwq9" TargetMode="External"/><Relationship Id="rId267" Type="http://schemas.openxmlformats.org/officeDocument/2006/relationships/hyperlink" Target="https://maps.app.goo.gl/xkQq5Pux4Rx1uT4c6" TargetMode="External"/><Relationship Id="rId288" Type="http://schemas.openxmlformats.org/officeDocument/2006/relationships/hyperlink" Target="https://maps.app.goo.gl/U6GjyB97wYVMLNT38" TargetMode="External"/><Relationship Id="rId106" Type="http://schemas.openxmlformats.org/officeDocument/2006/relationships/hyperlink" Target="https://maps.app.goo.gl/A8WPn23LLevEehMG8" TargetMode="External"/><Relationship Id="rId127" Type="http://schemas.openxmlformats.org/officeDocument/2006/relationships/hyperlink" Target="https://maps.app.goo.gl/R1Hie8yW7bZTTdHK8" TargetMode="External"/><Relationship Id="rId10" Type="http://schemas.openxmlformats.org/officeDocument/2006/relationships/hyperlink" Target="https://maps.app.goo.gl/4H16AYmruc587pTS9" TargetMode="External"/><Relationship Id="rId31" Type="http://schemas.openxmlformats.org/officeDocument/2006/relationships/hyperlink" Target="https://maps.app.goo.gl/Cncz5ccckRYJwSZy7" TargetMode="External"/><Relationship Id="rId52" Type="http://schemas.openxmlformats.org/officeDocument/2006/relationships/hyperlink" Target="https://maps.app.goo.gl/e5mc5NEyzjbqz31RA" TargetMode="External"/><Relationship Id="rId73" Type="http://schemas.openxmlformats.org/officeDocument/2006/relationships/hyperlink" Target="https://maps.app.goo.gl/2LTdFkXrpxMxFPERA" TargetMode="External"/><Relationship Id="rId94" Type="http://schemas.openxmlformats.org/officeDocument/2006/relationships/hyperlink" Target="https://maps.app.goo.gl/2JzxWoUAnkF171yz6" TargetMode="External"/><Relationship Id="rId148" Type="http://schemas.openxmlformats.org/officeDocument/2006/relationships/hyperlink" Target="https://maps.app.goo.gl/yAJGLpJPNnbgrrih9" TargetMode="External"/><Relationship Id="rId169" Type="http://schemas.openxmlformats.org/officeDocument/2006/relationships/hyperlink" Target="https://maps.app.goo.gl/1Ppd8cV3b4Fm1p1E9" TargetMode="External"/><Relationship Id="rId4" Type="http://schemas.openxmlformats.org/officeDocument/2006/relationships/hyperlink" Target="https://maps.app.goo.gl/3B8ZhGzqW2v8Pb5R7" TargetMode="External"/><Relationship Id="rId180" Type="http://schemas.openxmlformats.org/officeDocument/2006/relationships/hyperlink" Target="https://maps.app.goo.gl/NeEvbTGDCA55QnT29" TargetMode="External"/><Relationship Id="rId215" Type="http://schemas.openxmlformats.org/officeDocument/2006/relationships/hyperlink" Target="https://maps.app.goo.gl/bBcQbMqHTxLoyGnH6" TargetMode="External"/><Relationship Id="rId236" Type="http://schemas.openxmlformats.org/officeDocument/2006/relationships/hyperlink" Target="https://maps.app.goo.gl/LCzDJbrRhBBZHzrr7" TargetMode="External"/><Relationship Id="rId257" Type="http://schemas.openxmlformats.org/officeDocument/2006/relationships/hyperlink" Target="https://maps.app.goo.gl/UNNj8RU9cJnWzKFf9" TargetMode="External"/><Relationship Id="rId278" Type="http://schemas.openxmlformats.org/officeDocument/2006/relationships/hyperlink" Target="https://maps.app.goo.gl/vuqJy2yhxozMn8hr8" TargetMode="External"/><Relationship Id="rId42" Type="http://schemas.openxmlformats.org/officeDocument/2006/relationships/hyperlink" Target="https://maps.app.goo.gl/aTvTHNt9bA5fmBAe9" TargetMode="External"/><Relationship Id="rId84" Type="http://schemas.openxmlformats.org/officeDocument/2006/relationships/hyperlink" Target="https://maps.app.goo.gl/wbA9gryizMWnQtjb6" TargetMode="External"/><Relationship Id="rId138" Type="http://schemas.openxmlformats.org/officeDocument/2006/relationships/hyperlink" Target="https://maps.app.goo.gl/6mGD57hiS71bpX9u9" TargetMode="External"/><Relationship Id="rId191" Type="http://schemas.openxmlformats.org/officeDocument/2006/relationships/hyperlink" Target="https://maps.app.goo.gl/kibj2N54D31TJUHk6" TargetMode="External"/><Relationship Id="rId205" Type="http://schemas.openxmlformats.org/officeDocument/2006/relationships/hyperlink" Target="https://maps.app.goo.gl/APm1CMCv3BLGAWYJA" TargetMode="External"/><Relationship Id="rId247" Type="http://schemas.openxmlformats.org/officeDocument/2006/relationships/hyperlink" Target="https://maps.app.goo.gl/kR7jtLxuL4oiDaxE8" TargetMode="External"/><Relationship Id="rId107" Type="http://schemas.openxmlformats.org/officeDocument/2006/relationships/hyperlink" Target="https://maps.app.goo.gl/fPsN8ACEcUQc4Bpb7" TargetMode="External"/><Relationship Id="rId289" Type="http://schemas.openxmlformats.org/officeDocument/2006/relationships/hyperlink" Target="https://maps.app.goo.gl/fJt1FVvSNYZ3PUz18" TargetMode="External"/><Relationship Id="rId11" Type="http://schemas.openxmlformats.org/officeDocument/2006/relationships/hyperlink" Target="https://maps.app.goo.gl/Gjkkb4igdtAQd3JH9" TargetMode="External"/><Relationship Id="rId53" Type="http://schemas.openxmlformats.org/officeDocument/2006/relationships/hyperlink" Target="https://maps.app.goo.gl/quEJ2tfDWBUKViut6" TargetMode="External"/><Relationship Id="rId149" Type="http://schemas.openxmlformats.org/officeDocument/2006/relationships/hyperlink" Target="https://maps.app.goo.gl/ds9YAhWiKtyVKb689" TargetMode="External"/><Relationship Id="rId95" Type="http://schemas.openxmlformats.org/officeDocument/2006/relationships/hyperlink" Target="https://maps.app.goo.gl/PvBcjviEDLuxCP3KA" TargetMode="External"/><Relationship Id="rId160" Type="http://schemas.openxmlformats.org/officeDocument/2006/relationships/hyperlink" Target="https://maps.app.goo.gl/HFJ5HuYiQwcynV218" TargetMode="External"/><Relationship Id="rId216" Type="http://schemas.openxmlformats.org/officeDocument/2006/relationships/hyperlink" Target="https://maps.app.goo.gl/dqv2WU6xSFGS4EJS7" TargetMode="External"/><Relationship Id="rId258" Type="http://schemas.openxmlformats.org/officeDocument/2006/relationships/hyperlink" Target="https://maps.app.goo.gl/8mhNHs1X5XToWmZK9" TargetMode="External"/><Relationship Id="rId22" Type="http://schemas.openxmlformats.org/officeDocument/2006/relationships/hyperlink" Target="https://maps.app.goo.gl/LYPPy5VnmPr4H6zw6" TargetMode="External"/><Relationship Id="rId64" Type="http://schemas.openxmlformats.org/officeDocument/2006/relationships/hyperlink" Target="https://maps.app.goo.gl/qERXRsREvXWFaEvw9" TargetMode="External"/><Relationship Id="rId118" Type="http://schemas.openxmlformats.org/officeDocument/2006/relationships/hyperlink" Target="https://maps.app.goo.gl/vkoLFjAGaCXzL6zy7" TargetMode="External"/><Relationship Id="rId171" Type="http://schemas.openxmlformats.org/officeDocument/2006/relationships/hyperlink" Target="https://maps.app.goo.gl/hryoHK2H3qz26dN98" TargetMode="External"/><Relationship Id="rId227" Type="http://schemas.openxmlformats.org/officeDocument/2006/relationships/hyperlink" Target="https://maps.app.goo.gl/cNrSqbLCixh9v1ow8" TargetMode="External"/><Relationship Id="rId269" Type="http://schemas.openxmlformats.org/officeDocument/2006/relationships/hyperlink" Target="https://maps.app.goo.gl/AGJDKxTCij2YVBHr7" TargetMode="External"/><Relationship Id="rId33" Type="http://schemas.openxmlformats.org/officeDocument/2006/relationships/hyperlink" Target="https://maps.app.goo.gl/rmYs6yEBiaoBL58q9" TargetMode="External"/><Relationship Id="rId129" Type="http://schemas.openxmlformats.org/officeDocument/2006/relationships/hyperlink" Target="https://maps.app.goo.gl/tUn82nLchDJ9PnCh9" TargetMode="External"/><Relationship Id="rId280" Type="http://schemas.openxmlformats.org/officeDocument/2006/relationships/hyperlink" Target="https://maps.app.goo.gl/i6zCfe4riLm4ZFmN8" TargetMode="External"/><Relationship Id="rId75" Type="http://schemas.openxmlformats.org/officeDocument/2006/relationships/hyperlink" Target="https://maps.app.goo.gl/sLfAn588HbQWJpV57" TargetMode="External"/><Relationship Id="rId140" Type="http://schemas.openxmlformats.org/officeDocument/2006/relationships/hyperlink" Target="https://maps.app.goo.gl/gBe6YrL7SGCF318m8" TargetMode="External"/><Relationship Id="rId182" Type="http://schemas.openxmlformats.org/officeDocument/2006/relationships/hyperlink" Target="https://maps.app.goo.gl/Nauro52Ep9Ksx6P4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7mbsUxP3eY37PbU96" TargetMode="External"/><Relationship Id="rId21" Type="http://schemas.openxmlformats.org/officeDocument/2006/relationships/hyperlink" Target="https://maps.app.goo.gl/QkSgQsQW6eALbCGq5" TargetMode="External"/><Relationship Id="rId42" Type="http://schemas.openxmlformats.org/officeDocument/2006/relationships/hyperlink" Target="https://maps.app.goo.gl/A8yfhyUFYDRn88Sm6" TargetMode="External"/><Relationship Id="rId63" Type="http://schemas.openxmlformats.org/officeDocument/2006/relationships/hyperlink" Target="https://maps.app.goo.gl/K2VQw26SGWpvXiEm9" TargetMode="External"/><Relationship Id="rId84" Type="http://schemas.openxmlformats.org/officeDocument/2006/relationships/hyperlink" Target="https://maps.app.goo.gl/pKHeNasBhVmKR33PA" TargetMode="External"/><Relationship Id="rId138" Type="http://schemas.openxmlformats.org/officeDocument/2006/relationships/hyperlink" Target="https://maps.app.goo.gl/MrfAvdVwLDPzqM3t5" TargetMode="External"/><Relationship Id="rId159" Type="http://schemas.openxmlformats.org/officeDocument/2006/relationships/hyperlink" Target="https://maps.app.goo.gl/EZ1zfkbPERP4MD9Z9" TargetMode="External"/><Relationship Id="rId170" Type="http://schemas.openxmlformats.org/officeDocument/2006/relationships/hyperlink" Target="https://maps.app.goo.gl/DrdRS2hry5sbyrsy8" TargetMode="External"/><Relationship Id="rId191" Type="http://schemas.openxmlformats.org/officeDocument/2006/relationships/hyperlink" Target="https://maps.app.goo.gl/2U63iubCrh786xiK9" TargetMode="External"/><Relationship Id="rId205" Type="http://schemas.openxmlformats.org/officeDocument/2006/relationships/hyperlink" Target="https://maps.app.goo.gl/RWyvkQ91hoHLPvZw9" TargetMode="External"/><Relationship Id="rId107" Type="http://schemas.openxmlformats.org/officeDocument/2006/relationships/hyperlink" Target="https://maps.app.goo.gl/8MSaPeXj9U9Nv9z2A" TargetMode="External"/><Relationship Id="rId11" Type="http://schemas.openxmlformats.org/officeDocument/2006/relationships/hyperlink" Target="https://maps.app.goo.gl/frsVWbfV96yfbUWF7" TargetMode="External"/><Relationship Id="rId32" Type="http://schemas.openxmlformats.org/officeDocument/2006/relationships/hyperlink" Target="https://maps.app.goo.gl/9i9PJaGa1Pcj6XmM7" TargetMode="External"/><Relationship Id="rId53" Type="http://schemas.openxmlformats.org/officeDocument/2006/relationships/hyperlink" Target="https://maps.app.goo.gl/YneA4FF1jhaUt55B8" TargetMode="External"/><Relationship Id="rId74" Type="http://schemas.openxmlformats.org/officeDocument/2006/relationships/hyperlink" Target="https://maps.app.goo.gl/vkoLFjAGaCXzL6zy7" TargetMode="External"/><Relationship Id="rId128" Type="http://schemas.openxmlformats.org/officeDocument/2006/relationships/hyperlink" Target="https://maps.app.goo.gl/QAZHK8YLJpUk5GsF6" TargetMode="External"/><Relationship Id="rId149" Type="http://schemas.openxmlformats.org/officeDocument/2006/relationships/hyperlink" Target="https://maps.app.goo.gl/ss93NukzhwUkbGGW6" TargetMode="External"/><Relationship Id="rId5" Type="http://schemas.openxmlformats.org/officeDocument/2006/relationships/hyperlink" Target="https://maps.app.goo.gl/aQTVy4qYCbXqdmMK6" TargetMode="External"/><Relationship Id="rId95" Type="http://schemas.openxmlformats.org/officeDocument/2006/relationships/hyperlink" Target="https://maps.app.goo.gl/hbAMYBHfA6r6Fkr46" TargetMode="External"/><Relationship Id="rId160" Type="http://schemas.openxmlformats.org/officeDocument/2006/relationships/hyperlink" Target="https://maps.app.goo.gl/TgpFra9btuiWvDsW8" TargetMode="External"/><Relationship Id="rId181" Type="http://schemas.openxmlformats.org/officeDocument/2006/relationships/hyperlink" Target="https://maps.app.goo.gl/R8n6KZiDRfFLE3Pw6" TargetMode="External"/><Relationship Id="rId22" Type="http://schemas.openxmlformats.org/officeDocument/2006/relationships/hyperlink" Target="https://maps.app.goo.gl/shnWCrSFoBxKWcqE9" TargetMode="External"/><Relationship Id="rId43" Type="http://schemas.openxmlformats.org/officeDocument/2006/relationships/hyperlink" Target="https://maps.app.goo.gl/DdihNnVqnqBeahwW6" TargetMode="External"/><Relationship Id="rId64" Type="http://schemas.openxmlformats.org/officeDocument/2006/relationships/hyperlink" Target="https://maps.app.goo.gl/2jvbcXwEsGKPAHL58" TargetMode="External"/><Relationship Id="rId118" Type="http://schemas.openxmlformats.org/officeDocument/2006/relationships/hyperlink" Target="https://maps.app.goo.gl/2nCBY6bBpLvegbVt5" TargetMode="External"/><Relationship Id="rId139" Type="http://schemas.openxmlformats.org/officeDocument/2006/relationships/hyperlink" Target="https://maps.app.goo.gl/FyaY9fg4MYmzZF4TA" TargetMode="External"/><Relationship Id="rId85" Type="http://schemas.openxmlformats.org/officeDocument/2006/relationships/hyperlink" Target="https://maps.app.goo.gl/tUn82nLchDJ9PnCh9" TargetMode="External"/><Relationship Id="rId150" Type="http://schemas.openxmlformats.org/officeDocument/2006/relationships/hyperlink" Target="https://maps.app.goo.gl/3nGf7tMoy8p2by256" TargetMode="External"/><Relationship Id="rId171" Type="http://schemas.openxmlformats.org/officeDocument/2006/relationships/hyperlink" Target="https://maps.app.goo.gl/QoJgDcTdngCAH9A16" TargetMode="External"/><Relationship Id="rId192" Type="http://schemas.openxmlformats.org/officeDocument/2006/relationships/hyperlink" Target="https://maps.app.goo.gl/XVmfK8y66mdWsi8r7" TargetMode="External"/><Relationship Id="rId206" Type="http://schemas.openxmlformats.org/officeDocument/2006/relationships/hyperlink" Target="https://maps.app.goo.gl/91WGK16EK8MmVYxG8" TargetMode="External"/><Relationship Id="rId12" Type="http://schemas.openxmlformats.org/officeDocument/2006/relationships/hyperlink" Target="https://maps.app.goo.gl/bHUXrRLsucc9XXCn7" TargetMode="External"/><Relationship Id="rId33" Type="http://schemas.openxmlformats.org/officeDocument/2006/relationships/hyperlink" Target="https://maps.app.goo.gl/56uSn3DNXL8Vatxx7" TargetMode="External"/><Relationship Id="rId108" Type="http://schemas.openxmlformats.org/officeDocument/2006/relationships/hyperlink" Target="https://maps.app.goo.gl/KBGUaph3xW5YxFxL9" TargetMode="External"/><Relationship Id="rId129" Type="http://schemas.openxmlformats.org/officeDocument/2006/relationships/hyperlink" Target="https://maps.app.goo.gl/tzP5a1PJ4xaizEjB9" TargetMode="External"/><Relationship Id="rId54" Type="http://schemas.openxmlformats.org/officeDocument/2006/relationships/hyperlink" Target="https://maps.app.goo.gl/vQJ7eVKJ24R2eKJV6" TargetMode="External"/><Relationship Id="rId75" Type="http://schemas.openxmlformats.org/officeDocument/2006/relationships/hyperlink" Target="https://maps.app.goo.gl/SwrA5ZcB5FidQSLc8" TargetMode="External"/><Relationship Id="rId96" Type="http://schemas.openxmlformats.org/officeDocument/2006/relationships/hyperlink" Target="https://maps.app.goo.gl/Niebe8kvJMLAUbya6" TargetMode="External"/><Relationship Id="rId140" Type="http://schemas.openxmlformats.org/officeDocument/2006/relationships/hyperlink" Target="https://maps.app.goo.gl/mHpPAbdXaeDmFJn2A" TargetMode="External"/><Relationship Id="rId161" Type="http://schemas.openxmlformats.org/officeDocument/2006/relationships/hyperlink" Target="https://maps.app.goo.gl/sRmdtqWSxyuBhgKN9" TargetMode="External"/><Relationship Id="rId182" Type="http://schemas.openxmlformats.org/officeDocument/2006/relationships/hyperlink" Target="https://maps.app.goo.gl/EYP6XF4H1wmHNwtq7" TargetMode="External"/><Relationship Id="rId6" Type="http://schemas.openxmlformats.org/officeDocument/2006/relationships/hyperlink" Target="https://maps.app.goo.gl/gF8nNigdUrRL2XuJ6" TargetMode="External"/><Relationship Id="rId23" Type="http://schemas.openxmlformats.org/officeDocument/2006/relationships/hyperlink" Target="https://maps.app.goo.gl/jQPpds4zfikgE1c5A" TargetMode="External"/><Relationship Id="rId119" Type="http://schemas.openxmlformats.org/officeDocument/2006/relationships/hyperlink" Target="https://maps.app.goo.gl/ichyDJ2jqgMKHX2Z6" TargetMode="External"/><Relationship Id="rId44" Type="http://schemas.openxmlformats.org/officeDocument/2006/relationships/hyperlink" Target="https://maps.app.goo.gl/JHnpWDgSJXyPiaxB7" TargetMode="External"/><Relationship Id="rId65" Type="http://schemas.openxmlformats.org/officeDocument/2006/relationships/hyperlink" Target="https://maps.app.goo.gl/CXPq8x649kh8iwZj8" TargetMode="External"/><Relationship Id="rId86" Type="http://schemas.openxmlformats.org/officeDocument/2006/relationships/hyperlink" Target="https://maps.app.goo.gl/7bG729yFDy8Dquzv5" TargetMode="External"/><Relationship Id="rId130" Type="http://schemas.openxmlformats.org/officeDocument/2006/relationships/hyperlink" Target="https://maps.app.goo.gl/WAGF3raXgK14D5PK8" TargetMode="External"/><Relationship Id="rId151" Type="http://schemas.openxmlformats.org/officeDocument/2006/relationships/hyperlink" Target="https://maps.app.goo.gl/qCqY4imswcPLrVvK9" TargetMode="External"/><Relationship Id="rId172" Type="http://schemas.openxmlformats.org/officeDocument/2006/relationships/hyperlink" Target="https://maps.app.goo.gl/bU1PPanwjSNDoqwq9" TargetMode="External"/><Relationship Id="rId193" Type="http://schemas.openxmlformats.org/officeDocument/2006/relationships/hyperlink" Target="https://maps.app.goo.gl/VzCMTa1xKq4N8WMn9" TargetMode="External"/><Relationship Id="rId207" Type="http://schemas.openxmlformats.org/officeDocument/2006/relationships/hyperlink" Target="https://maps.app.goo.gl/HLTBEoMhCUiXNdsA9" TargetMode="External"/><Relationship Id="rId13" Type="http://schemas.openxmlformats.org/officeDocument/2006/relationships/hyperlink" Target="https://maps.app.goo.gl/UZUchN6fm1TKEuWY6" TargetMode="External"/><Relationship Id="rId109" Type="http://schemas.openxmlformats.org/officeDocument/2006/relationships/hyperlink" Target="https://maps.app.goo.gl/wrzSq3AgwqTW5VXc8" TargetMode="External"/><Relationship Id="rId34" Type="http://schemas.openxmlformats.org/officeDocument/2006/relationships/hyperlink" Target="https://maps.app.goo.gl/qERXRsREvXWFaEvw9" TargetMode="External"/><Relationship Id="rId55" Type="http://schemas.openxmlformats.org/officeDocument/2006/relationships/hyperlink" Target="https://maps.app.goo.gl/G5kAV5PPHoegSQdB7" TargetMode="External"/><Relationship Id="rId76" Type="http://schemas.openxmlformats.org/officeDocument/2006/relationships/hyperlink" Target="https://maps.app.goo.gl/Tytywporv6e9L9qJ8" TargetMode="External"/><Relationship Id="rId97" Type="http://schemas.openxmlformats.org/officeDocument/2006/relationships/hyperlink" Target="https://maps.app.goo.gl/W18Kd3H9ZbDch8DJ9" TargetMode="External"/><Relationship Id="rId120" Type="http://schemas.openxmlformats.org/officeDocument/2006/relationships/hyperlink" Target="https://maps.app.goo.gl/6Ma2ruogEqvcwHsb7" TargetMode="External"/><Relationship Id="rId141" Type="http://schemas.openxmlformats.org/officeDocument/2006/relationships/hyperlink" Target="https://maps.app.goo.gl/APm1CMCv3BLGAWYJA" TargetMode="External"/><Relationship Id="rId7" Type="http://schemas.openxmlformats.org/officeDocument/2006/relationships/hyperlink" Target="https://maps.app.goo.gl/LYPPy5VnmPr4H6zw6" TargetMode="External"/><Relationship Id="rId162" Type="http://schemas.openxmlformats.org/officeDocument/2006/relationships/hyperlink" Target="https://maps.app.goo.gl/LCzDJbrRhBBZHzrr7" TargetMode="External"/><Relationship Id="rId183" Type="http://schemas.openxmlformats.org/officeDocument/2006/relationships/hyperlink" Target="https://maps.app.goo.gl/5dh9pFhJSZCrfcsU7" TargetMode="External"/><Relationship Id="rId24" Type="http://schemas.openxmlformats.org/officeDocument/2006/relationships/hyperlink" Target="https://maps.app.goo.gl/PUjWLajarpvgnGqP9" TargetMode="External"/><Relationship Id="rId45" Type="http://schemas.openxmlformats.org/officeDocument/2006/relationships/hyperlink" Target="https://maps.app.goo.gl/MQ7P8YbDAftJptha9" TargetMode="External"/><Relationship Id="rId66" Type="http://schemas.openxmlformats.org/officeDocument/2006/relationships/hyperlink" Target="https://maps.app.goo.gl/XJ6owUw26tjsmy1t9" TargetMode="External"/><Relationship Id="rId87" Type="http://schemas.openxmlformats.org/officeDocument/2006/relationships/hyperlink" Target="https://maps.app.goo.gl/LnWJe9qFZrGnZbAm7" TargetMode="External"/><Relationship Id="rId110" Type="http://schemas.openxmlformats.org/officeDocument/2006/relationships/hyperlink" Target="https://maps.app.goo.gl/efghyper893HRvwb7" TargetMode="External"/><Relationship Id="rId131" Type="http://schemas.openxmlformats.org/officeDocument/2006/relationships/hyperlink" Target="https://maps.app.goo.gl/EHNcf8pSUF7o2WJY6" TargetMode="External"/><Relationship Id="rId61" Type="http://schemas.openxmlformats.org/officeDocument/2006/relationships/hyperlink" Target="https://maps.app.goo.gl/iUG2bzgzJi79AJVJ6" TargetMode="External"/><Relationship Id="rId82" Type="http://schemas.openxmlformats.org/officeDocument/2006/relationships/hyperlink" Target="https://maps.app.goo.gl/U59zpX9GZZAB3h3j8" TargetMode="External"/><Relationship Id="rId152" Type="http://schemas.openxmlformats.org/officeDocument/2006/relationships/hyperlink" Target="https://maps.app.goo.gl/Nbd7HTETtWZ5fr2q8" TargetMode="External"/><Relationship Id="rId173" Type="http://schemas.openxmlformats.org/officeDocument/2006/relationships/hyperlink" Target="https://maps.app.goo.gl/kR7jtLxuL4oiDaxE8" TargetMode="External"/><Relationship Id="rId194" Type="http://schemas.openxmlformats.org/officeDocument/2006/relationships/hyperlink" Target="https://maps.app.goo.gl/vuqJy2yhxozMn8hr8" TargetMode="External"/><Relationship Id="rId199" Type="http://schemas.openxmlformats.org/officeDocument/2006/relationships/hyperlink" Target="https://maps.app.goo.gl/HbavHWZzPp2iiKpaA" TargetMode="External"/><Relationship Id="rId203" Type="http://schemas.openxmlformats.org/officeDocument/2006/relationships/hyperlink" Target="https://maps.app.goo.gl/Jo1DDFc4FsY4mn82A" TargetMode="External"/><Relationship Id="rId208" Type="http://schemas.openxmlformats.org/officeDocument/2006/relationships/hyperlink" Target="https://maps.app.goo.gl/bjZegjkSwRA84cA4A" TargetMode="External"/><Relationship Id="rId19" Type="http://schemas.openxmlformats.org/officeDocument/2006/relationships/hyperlink" Target="https://maps.app.goo.gl/ZyPzrULx1MLcovEJ8" TargetMode="External"/><Relationship Id="rId14" Type="http://schemas.openxmlformats.org/officeDocument/2006/relationships/hyperlink" Target="https://maps.app.goo.gl/HFf13V4A8E7P1mR58" TargetMode="External"/><Relationship Id="rId30" Type="http://schemas.openxmlformats.org/officeDocument/2006/relationships/hyperlink" Target="https://maps.app.goo.gl/YE4roBCuiiF8dqG68" TargetMode="External"/><Relationship Id="rId35" Type="http://schemas.openxmlformats.org/officeDocument/2006/relationships/hyperlink" Target="https://maps.app.goo.gl/qC8LoaP2qSVdkPuBA" TargetMode="External"/><Relationship Id="rId56" Type="http://schemas.openxmlformats.org/officeDocument/2006/relationships/hyperlink" Target="https://maps.app.goo.gl/q6jTvwsWxW7TTFJeA" TargetMode="External"/><Relationship Id="rId77" Type="http://schemas.openxmlformats.org/officeDocument/2006/relationships/hyperlink" Target="https://maps.app.goo.gl/51RHJ8f66GdxhXgs9" TargetMode="External"/><Relationship Id="rId100" Type="http://schemas.openxmlformats.org/officeDocument/2006/relationships/hyperlink" Target="https://maps.app.goo.gl/ds9YAhWiKtyVKb689" TargetMode="External"/><Relationship Id="rId105" Type="http://schemas.openxmlformats.org/officeDocument/2006/relationships/hyperlink" Target="https://maps.app.goo.gl/WH6FUWkJgH31Wt3v5" TargetMode="External"/><Relationship Id="rId126" Type="http://schemas.openxmlformats.org/officeDocument/2006/relationships/hyperlink" Target="https://maps.app.goo.gl/AnMjBgcs5yf8a5RB9" TargetMode="External"/><Relationship Id="rId147" Type="http://schemas.openxmlformats.org/officeDocument/2006/relationships/hyperlink" Target="https://maps.app.goo.gl/dqv2WU6xSFGS4EJS7" TargetMode="External"/><Relationship Id="rId168" Type="http://schemas.openxmlformats.org/officeDocument/2006/relationships/hyperlink" Target="https://maps.app.goo.gl/3X2AT9GaaPfLUsZw7" TargetMode="External"/><Relationship Id="rId8" Type="http://schemas.openxmlformats.org/officeDocument/2006/relationships/hyperlink" Target="https://maps.app.goo.gl/FyP4BF3uzXvpEooY7" TargetMode="External"/><Relationship Id="rId51" Type="http://schemas.openxmlformats.org/officeDocument/2006/relationships/hyperlink" Target="https://maps.app.goo.gl/wptQJDBKo7tC7L4R8" TargetMode="External"/><Relationship Id="rId72" Type="http://schemas.openxmlformats.org/officeDocument/2006/relationships/hyperlink" Target="https://maps.app.goo.gl/ieFFtgXyY1A7RbTN9" TargetMode="External"/><Relationship Id="rId93" Type="http://schemas.openxmlformats.org/officeDocument/2006/relationships/hyperlink" Target="https://maps.app.goo.gl/97BiekZKyXQzMJJi7" TargetMode="External"/><Relationship Id="rId98" Type="http://schemas.openxmlformats.org/officeDocument/2006/relationships/hyperlink" Target="https://maps.app.goo.gl/9ihRAdderwHhXkdUA" TargetMode="External"/><Relationship Id="rId121" Type="http://schemas.openxmlformats.org/officeDocument/2006/relationships/hyperlink" Target="https://maps.app.goo.gl/NeEvbTGDCA55QnT29" TargetMode="External"/><Relationship Id="rId142" Type="http://schemas.openxmlformats.org/officeDocument/2006/relationships/hyperlink" Target="https://maps.app.goo.gl/qH3XPDtRq4H8szHk8" TargetMode="External"/><Relationship Id="rId163" Type="http://schemas.openxmlformats.org/officeDocument/2006/relationships/hyperlink" Target="https://maps.app.goo.gl/TDUWwdEWZBwHyLCQ9" TargetMode="External"/><Relationship Id="rId184" Type="http://schemas.openxmlformats.org/officeDocument/2006/relationships/hyperlink" Target="https://maps.app.goo.gl/hRLgL4vzpT48YYh9A" TargetMode="External"/><Relationship Id="rId189" Type="http://schemas.openxmlformats.org/officeDocument/2006/relationships/hyperlink" Target="https://maps.app.goo.gl/FYcifXwevE523wg79" TargetMode="External"/><Relationship Id="rId3" Type="http://schemas.openxmlformats.org/officeDocument/2006/relationships/hyperlink" Target="https://maps.app.goo.gl/jm5JRZPhwYTUJqSR9" TargetMode="External"/><Relationship Id="rId25" Type="http://schemas.openxmlformats.org/officeDocument/2006/relationships/hyperlink" Target="https://maps.app.goo.gl/1uLJP4erCsEjCbMd6" TargetMode="External"/><Relationship Id="rId46" Type="http://schemas.openxmlformats.org/officeDocument/2006/relationships/hyperlink" Target="https://maps.app.goo.gl/VZLeYSocaZvi34rA7" TargetMode="External"/><Relationship Id="rId67" Type="http://schemas.openxmlformats.org/officeDocument/2006/relationships/hyperlink" Target="https://maps.app.goo.gl/A8WPn23LLevEehMG8" TargetMode="External"/><Relationship Id="rId116" Type="http://schemas.openxmlformats.org/officeDocument/2006/relationships/hyperlink" Target="https://maps.app.goo.gl/7mbsUxP3eY37PbU96" TargetMode="External"/><Relationship Id="rId137" Type="http://schemas.openxmlformats.org/officeDocument/2006/relationships/hyperlink" Target="https://maps.app.goo.gl/yqC2wGJt7YZoQYPG7" TargetMode="External"/><Relationship Id="rId158" Type="http://schemas.openxmlformats.org/officeDocument/2006/relationships/hyperlink" Target="https://maps.app.goo.gl/cNrSqbLCixh9v1ow8" TargetMode="External"/><Relationship Id="rId20" Type="http://schemas.openxmlformats.org/officeDocument/2006/relationships/hyperlink" Target="https://maps.app.goo.gl/usXKu7wZoNXa4RJU8" TargetMode="External"/><Relationship Id="rId41" Type="http://schemas.openxmlformats.org/officeDocument/2006/relationships/hyperlink" Target="https://maps.app.goo.gl/RKNF15HCVty8jory8" TargetMode="External"/><Relationship Id="rId62" Type="http://schemas.openxmlformats.org/officeDocument/2006/relationships/hyperlink" Target="https://maps.app.goo.gl/rVmMcUmL29mr7ncC8" TargetMode="External"/><Relationship Id="rId83" Type="http://schemas.openxmlformats.org/officeDocument/2006/relationships/hyperlink" Target="https://maps.app.goo.gl/R1Hie8yW7bZTTdHK8" TargetMode="External"/><Relationship Id="rId88" Type="http://schemas.openxmlformats.org/officeDocument/2006/relationships/hyperlink" Target="https://maps.app.goo.gl/oJ2mcdd7aV6b9UBPA" TargetMode="External"/><Relationship Id="rId111" Type="http://schemas.openxmlformats.org/officeDocument/2006/relationships/hyperlink" Target="https://maps.app.goo.gl/Y4WVcF48CYPsvNMP8" TargetMode="External"/><Relationship Id="rId132" Type="http://schemas.openxmlformats.org/officeDocument/2006/relationships/hyperlink" Target="https://maps.app.goo.gl/ktUJrggvkBAWFapg8" TargetMode="External"/><Relationship Id="rId153" Type="http://schemas.openxmlformats.org/officeDocument/2006/relationships/hyperlink" Target="https://maps.app.goo.gl/29JV5JB6rjyWHyxQA" TargetMode="External"/><Relationship Id="rId174" Type="http://schemas.openxmlformats.org/officeDocument/2006/relationships/hyperlink" Target="https://maps.app.goo.gl/j2nTiNoD48Te77oXA" TargetMode="External"/><Relationship Id="rId179" Type="http://schemas.openxmlformats.org/officeDocument/2006/relationships/hyperlink" Target="https://maps.app.goo.gl/8mhNHs1X5XToWmZK9" TargetMode="External"/><Relationship Id="rId195" Type="http://schemas.openxmlformats.org/officeDocument/2006/relationships/hyperlink" Target="https://maps.app.goo.gl/YUBhW55pHToaxg826" TargetMode="External"/><Relationship Id="rId209" Type="http://schemas.openxmlformats.org/officeDocument/2006/relationships/hyperlink" Target="https://maps.app.goo.gl/DkL3kFFn3PD3UkxG6" TargetMode="External"/><Relationship Id="rId190" Type="http://schemas.openxmlformats.org/officeDocument/2006/relationships/hyperlink" Target="https://maps.app.goo.gl/AGJDKxTCij2YVBHr7" TargetMode="External"/><Relationship Id="rId204" Type="http://schemas.openxmlformats.org/officeDocument/2006/relationships/hyperlink" Target="https://maps.app.goo.gl/U6GjyB97wYVMLNT38" TargetMode="External"/><Relationship Id="rId15" Type="http://schemas.openxmlformats.org/officeDocument/2006/relationships/hyperlink" Target="https://maps.app.goo.gl/KvKR3ZquYniyomrb6" TargetMode="External"/><Relationship Id="rId36" Type="http://schemas.openxmlformats.org/officeDocument/2006/relationships/hyperlink" Target="https://maps.app.goo.gl/59cM2ovhQFrRqeYu7" TargetMode="External"/><Relationship Id="rId57" Type="http://schemas.openxmlformats.org/officeDocument/2006/relationships/hyperlink" Target="https://maps.app.goo.gl/F8tK9hkQEG2WWPM39" TargetMode="External"/><Relationship Id="rId106" Type="http://schemas.openxmlformats.org/officeDocument/2006/relationships/hyperlink" Target="https://maps.app.goo.gl/HFJ5HuYiQwcynV218" TargetMode="External"/><Relationship Id="rId127" Type="http://schemas.openxmlformats.org/officeDocument/2006/relationships/hyperlink" Target="https://maps.app.goo.gl/CSzVstPSDNLdCmwQ6" TargetMode="External"/><Relationship Id="rId10" Type="http://schemas.openxmlformats.org/officeDocument/2006/relationships/hyperlink" Target="https://maps.app.goo.gl/RKG9c9JhXiFJGTtx7" TargetMode="External"/><Relationship Id="rId31" Type="http://schemas.openxmlformats.org/officeDocument/2006/relationships/hyperlink" Target="https://maps.app.goo.gl/Gfifr5u1wPCaJgJd6" TargetMode="External"/><Relationship Id="rId52" Type="http://schemas.openxmlformats.org/officeDocument/2006/relationships/hyperlink" Target="https://maps.app.goo.gl/2LDU72bgKZLvmGTj8" TargetMode="External"/><Relationship Id="rId73" Type="http://schemas.openxmlformats.org/officeDocument/2006/relationships/hyperlink" Target="https://maps.app.goo.gl/TAVMet4JKXqkLSEy5" TargetMode="External"/><Relationship Id="rId78" Type="http://schemas.openxmlformats.org/officeDocument/2006/relationships/hyperlink" Target="https://maps.app.goo.gl/TvqHZpg1UKcyHJyA8" TargetMode="External"/><Relationship Id="rId94" Type="http://schemas.openxmlformats.org/officeDocument/2006/relationships/hyperlink" Target="https://maps.app.goo.gl/mKBQkSiMZdwSUpW86" TargetMode="External"/><Relationship Id="rId99" Type="http://schemas.openxmlformats.org/officeDocument/2006/relationships/hyperlink" Target="https://maps.app.goo.gl/yAJGLpJPNnbgrrih9" TargetMode="External"/><Relationship Id="rId101" Type="http://schemas.openxmlformats.org/officeDocument/2006/relationships/hyperlink" Target="https://maps.app.goo.gl/FvcNQMJSpgww2Hv7A" TargetMode="External"/><Relationship Id="rId122" Type="http://schemas.openxmlformats.org/officeDocument/2006/relationships/hyperlink" Target="https://maps.app.goo.gl/gq8Jk46RXMJR37Kt5" TargetMode="External"/><Relationship Id="rId143" Type="http://schemas.openxmlformats.org/officeDocument/2006/relationships/hyperlink" Target="https://maps.app.goo.gl/YJKk2YKHJMg8LVjB6" TargetMode="External"/><Relationship Id="rId148" Type="http://schemas.openxmlformats.org/officeDocument/2006/relationships/hyperlink" Target="https://maps.app.goo.gl/UNsrtNT5wggWkhJY6" TargetMode="External"/><Relationship Id="rId164" Type="http://schemas.openxmlformats.org/officeDocument/2006/relationships/hyperlink" Target="https://maps.app.goo.gl/rtH5fN1xqASULepG7" TargetMode="External"/><Relationship Id="rId169" Type="http://schemas.openxmlformats.org/officeDocument/2006/relationships/hyperlink" Target="https://maps.app.goo.gl/zVBeL5pWbrGfxkSa7" TargetMode="External"/><Relationship Id="rId185" Type="http://schemas.openxmlformats.org/officeDocument/2006/relationships/hyperlink" Target="https://maps.app.goo.gl/6qwJ2jqBntNpsxCq9" TargetMode="External"/><Relationship Id="rId4" Type="http://schemas.openxmlformats.org/officeDocument/2006/relationships/hyperlink" Target="https://maps.app.goo.gl/3B8ZhGzqW2v8Pb5R7" TargetMode="External"/><Relationship Id="rId9" Type="http://schemas.openxmlformats.org/officeDocument/2006/relationships/hyperlink" Target="https://maps.app.goo.gl/AFuuhnb64qJoRAt88" TargetMode="External"/><Relationship Id="rId180" Type="http://schemas.openxmlformats.org/officeDocument/2006/relationships/hyperlink" Target="https://maps.app.goo.gl/pJEgvitVF6LfkWQ99" TargetMode="External"/><Relationship Id="rId26" Type="http://schemas.openxmlformats.org/officeDocument/2006/relationships/hyperlink" Target="https://maps.app.goo.gl/i62fbrymDr2ywgAs9" TargetMode="External"/><Relationship Id="rId47" Type="http://schemas.openxmlformats.org/officeDocument/2006/relationships/hyperlink" Target="https://maps.app.goo.gl/LaETxPhBRTNMm8gG7" TargetMode="External"/><Relationship Id="rId68" Type="http://schemas.openxmlformats.org/officeDocument/2006/relationships/hyperlink" Target="https://maps.app.goo.gl/fPsN8ACEcUQc4Bpb7" TargetMode="External"/><Relationship Id="rId89" Type="http://schemas.openxmlformats.org/officeDocument/2006/relationships/hyperlink" Target="https://maps.app.goo.gl/6mGD57hiS71bpX9u9" TargetMode="External"/><Relationship Id="rId112" Type="http://schemas.openxmlformats.org/officeDocument/2006/relationships/hyperlink" Target="https://maps.app.goo.gl/QR4cqRFLmMY3ok516" TargetMode="External"/><Relationship Id="rId133" Type="http://schemas.openxmlformats.org/officeDocument/2006/relationships/hyperlink" Target="https://maps.app.goo.gl/XbboprSC6sEMmY9z5" TargetMode="External"/><Relationship Id="rId154" Type="http://schemas.openxmlformats.org/officeDocument/2006/relationships/hyperlink" Target="https://maps.app.goo.gl/qsku31xL88XC1mtz6" TargetMode="External"/><Relationship Id="rId175" Type="http://schemas.openxmlformats.org/officeDocument/2006/relationships/hyperlink" Target="https://maps.app.goo.gl/sbneKqdwRbKKwSc99" TargetMode="External"/><Relationship Id="rId196" Type="http://schemas.openxmlformats.org/officeDocument/2006/relationships/hyperlink" Target="https://maps.app.goo.gl/i6zCfe4riLm4ZFmN8" TargetMode="External"/><Relationship Id="rId200" Type="http://schemas.openxmlformats.org/officeDocument/2006/relationships/hyperlink" Target="https://maps.app.goo.gl/XZzySez27gdwPd6o9" TargetMode="External"/><Relationship Id="rId16" Type="http://schemas.openxmlformats.org/officeDocument/2006/relationships/hyperlink" Target="https://maps.app.goo.gl/Cncz5ccckRYJwSZy7" TargetMode="External"/><Relationship Id="rId37" Type="http://schemas.openxmlformats.org/officeDocument/2006/relationships/hyperlink" Target="https://maps.app.goo.gl/VwAu5bggYmEte2p17" TargetMode="External"/><Relationship Id="rId58" Type="http://schemas.openxmlformats.org/officeDocument/2006/relationships/hyperlink" Target="https://maps.app.goo.gl/p5siA6LFyDgwpjqv6" TargetMode="External"/><Relationship Id="rId79" Type="http://schemas.openxmlformats.org/officeDocument/2006/relationships/hyperlink" Target="https://maps.app.goo.gl/KDa9JrLdtwsTVVvUA" TargetMode="External"/><Relationship Id="rId102" Type="http://schemas.openxmlformats.org/officeDocument/2006/relationships/hyperlink" Target="https://maps.app.goo.gl/xBF6RpzPfLdQwkNF8" TargetMode="External"/><Relationship Id="rId123" Type="http://schemas.openxmlformats.org/officeDocument/2006/relationships/hyperlink" Target="https://maps.app.goo.gl/Nauro52Ep9Ksx6P48" TargetMode="External"/><Relationship Id="rId144" Type="http://schemas.openxmlformats.org/officeDocument/2006/relationships/hyperlink" Target="https://maps.app.goo.gl/UQLBrWnu4Xob1EEC8" TargetMode="External"/><Relationship Id="rId90" Type="http://schemas.openxmlformats.org/officeDocument/2006/relationships/hyperlink" Target="https://maps.app.goo.gl/5HboY2v6uKWC16y29" TargetMode="External"/><Relationship Id="rId165" Type="http://schemas.openxmlformats.org/officeDocument/2006/relationships/hyperlink" Target="https://maps.app.goo.gl/poKEZjsaYRqQ4Jou9" TargetMode="External"/><Relationship Id="rId186" Type="http://schemas.openxmlformats.org/officeDocument/2006/relationships/hyperlink" Target="https://maps.app.goo.gl/54K4dsA5JBvnXX6e6" TargetMode="External"/><Relationship Id="rId27" Type="http://schemas.openxmlformats.org/officeDocument/2006/relationships/hyperlink" Target="https://maps.app.goo.gl/KCtAogUL9paaXwb1A" TargetMode="External"/><Relationship Id="rId48" Type="http://schemas.openxmlformats.org/officeDocument/2006/relationships/hyperlink" Target="https://maps.app.goo.gl/h3Pq3yVjwdgtUjFJ6" TargetMode="External"/><Relationship Id="rId69" Type="http://schemas.openxmlformats.org/officeDocument/2006/relationships/hyperlink" Target="https://maps.app.goo.gl/Dbtzbys5wWtjggn97" TargetMode="External"/><Relationship Id="rId113" Type="http://schemas.openxmlformats.org/officeDocument/2006/relationships/hyperlink" Target="https://maps.app.goo.gl/RqgTZN6mZo8AcgBh8" TargetMode="External"/><Relationship Id="rId134" Type="http://schemas.openxmlformats.org/officeDocument/2006/relationships/hyperlink" Target="https://maps.app.goo.gl/BpTbqEr4B6ZvmakJ8" TargetMode="External"/><Relationship Id="rId80" Type="http://schemas.openxmlformats.org/officeDocument/2006/relationships/hyperlink" Target="https://maps.app.goo.gl/foFGV417Wxnueri59" TargetMode="External"/><Relationship Id="rId155" Type="http://schemas.openxmlformats.org/officeDocument/2006/relationships/hyperlink" Target="https://maps.app.goo.gl/n3YXJ1WvBEfuoJkq6" TargetMode="External"/><Relationship Id="rId176" Type="http://schemas.openxmlformats.org/officeDocument/2006/relationships/hyperlink" Target="https://maps.app.goo.gl/McwUurVvyMkMqJgL9" TargetMode="External"/><Relationship Id="rId197" Type="http://schemas.openxmlformats.org/officeDocument/2006/relationships/hyperlink" Target="https://maps.app.goo.gl/DX8wk2FGCwqqVwWJ6" TargetMode="External"/><Relationship Id="rId201" Type="http://schemas.openxmlformats.org/officeDocument/2006/relationships/hyperlink" Target="https://maps.app.goo.gl/bdRASB34szttVtTNA" TargetMode="External"/><Relationship Id="rId17" Type="http://schemas.openxmlformats.org/officeDocument/2006/relationships/hyperlink" Target="https://maps.app.goo.gl/MDYUxT4snnxenws18" TargetMode="External"/><Relationship Id="rId38" Type="http://schemas.openxmlformats.org/officeDocument/2006/relationships/hyperlink" Target="https://maps.app.goo.gl/hMZSxEShQfdTNh7V7" TargetMode="External"/><Relationship Id="rId59" Type="http://schemas.openxmlformats.org/officeDocument/2006/relationships/hyperlink" Target="http://iamgroot.in/" TargetMode="External"/><Relationship Id="rId103" Type="http://schemas.openxmlformats.org/officeDocument/2006/relationships/hyperlink" Target="https://maps.app.goo.gl/pqDpSkanN4e7VC788" TargetMode="External"/><Relationship Id="rId124" Type="http://schemas.openxmlformats.org/officeDocument/2006/relationships/hyperlink" Target="https://maps.app.goo.gl/QWTrvUPPMqTB1SMq6" TargetMode="External"/><Relationship Id="rId70" Type="http://schemas.openxmlformats.org/officeDocument/2006/relationships/hyperlink" Target="https://maps.app.goo.gl/H2q4Lp4jFQjuu8Nf6" TargetMode="External"/><Relationship Id="rId91" Type="http://schemas.openxmlformats.org/officeDocument/2006/relationships/hyperlink" Target="https://maps.app.goo.gl/gBe6YrL7SGCF318m8" TargetMode="External"/><Relationship Id="rId145" Type="http://schemas.openxmlformats.org/officeDocument/2006/relationships/hyperlink" Target="https://maps.app.goo.gl/r4f5MGbzJ4MMfCBaA" TargetMode="External"/><Relationship Id="rId166" Type="http://schemas.openxmlformats.org/officeDocument/2006/relationships/hyperlink" Target="https://maps.app.goo.gl/ypcLrYhsppvcW9VH6" TargetMode="External"/><Relationship Id="rId187" Type="http://schemas.openxmlformats.org/officeDocument/2006/relationships/hyperlink" Target="https://maps.app.goo.gl/RpbNPNnLj1sZSpBUA" TargetMode="External"/><Relationship Id="rId1" Type="http://schemas.openxmlformats.org/officeDocument/2006/relationships/hyperlink" Target="http://s.no/" TargetMode="External"/><Relationship Id="rId28" Type="http://schemas.openxmlformats.org/officeDocument/2006/relationships/hyperlink" Target="https://maps.app.goo.gl/S5SvDJVRwUD4jY1JA" TargetMode="External"/><Relationship Id="rId49" Type="http://schemas.openxmlformats.org/officeDocument/2006/relationships/hyperlink" Target="https://maps.app.goo.gl/wbA9gryizMWnQtjb6" TargetMode="External"/><Relationship Id="rId114" Type="http://schemas.openxmlformats.org/officeDocument/2006/relationships/hyperlink" Target="https://maps.app.goo.gl/4V4y8rLYVxZghnY28" TargetMode="External"/><Relationship Id="rId60" Type="http://schemas.openxmlformats.org/officeDocument/2006/relationships/hyperlink" Target="https://maps.app.goo.gl/xVgiX6PVeQwJFFMn9" TargetMode="External"/><Relationship Id="rId81" Type="http://schemas.openxmlformats.org/officeDocument/2006/relationships/hyperlink" Target="https://maps.app.goo.gl/GsQSibh1jXJxbPCw6" TargetMode="External"/><Relationship Id="rId135" Type="http://schemas.openxmlformats.org/officeDocument/2006/relationships/hyperlink" Target="https://maps.app.goo.gl/mWViUJKs8Bf5pKFr9" TargetMode="External"/><Relationship Id="rId156" Type="http://schemas.openxmlformats.org/officeDocument/2006/relationships/hyperlink" Target="https://maps.app.goo.gl/xUvpWVDZN6Fvc42q6" TargetMode="External"/><Relationship Id="rId177" Type="http://schemas.openxmlformats.org/officeDocument/2006/relationships/hyperlink" Target="https://maps.app.goo.gl/bVa56rn7MDvG4Vdy9" TargetMode="External"/><Relationship Id="rId198" Type="http://schemas.openxmlformats.org/officeDocument/2006/relationships/hyperlink" Target="https://maps.app.goo.gl/avSoLBL7ZoiikyGr5" TargetMode="External"/><Relationship Id="rId202" Type="http://schemas.openxmlformats.org/officeDocument/2006/relationships/hyperlink" Target="https://maps.app.goo.gl/sShNStGhCEYayiKs6" TargetMode="External"/><Relationship Id="rId18" Type="http://schemas.openxmlformats.org/officeDocument/2006/relationships/hyperlink" Target="https://maps.app.goo.gl/rmYs6yEBiaoBL58q9" TargetMode="External"/><Relationship Id="rId39" Type="http://schemas.openxmlformats.org/officeDocument/2006/relationships/hyperlink" Target="https://maps.app.goo.gl/Mbyhtkk8skYYiN1q8" TargetMode="External"/><Relationship Id="rId50" Type="http://schemas.openxmlformats.org/officeDocument/2006/relationships/hyperlink" Target="https://maps.app.goo.gl/56uLnH9PcqFhu3Ww9" TargetMode="External"/><Relationship Id="rId104" Type="http://schemas.openxmlformats.org/officeDocument/2006/relationships/hyperlink" Target="https://maps.app.goo.gl/S8HFw67fa7vecWFX8" TargetMode="External"/><Relationship Id="rId125" Type="http://schemas.openxmlformats.org/officeDocument/2006/relationships/hyperlink" Target="https://maps.app.goo.gl/F9FsoccepN8fxVSG7" TargetMode="External"/><Relationship Id="rId146" Type="http://schemas.openxmlformats.org/officeDocument/2006/relationships/hyperlink" Target="https://maps.app.goo.gl/F3t4iiRuPTXcUGnUA" TargetMode="External"/><Relationship Id="rId167" Type="http://schemas.openxmlformats.org/officeDocument/2006/relationships/hyperlink" Target="https://maps.app.goo.gl/8dcHQ3USzeQQqv6C8" TargetMode="External"/><Relationship Id="rId188" Type="http://schemas.openxmlformats.org/officeDocument/2006/relationships/hyperlink" Target="https://maps.app.goo.gl/xkQq5Pux4Rx1uT4c6" TargetMode="External"/><Relationship Id="rId71" Type="http://schemas.openxmlformats.org/officeDocument/2006/relationships/hyperlink" Target="https://maps.app.goo.gl/grrXXfaY1uyCbcsy5" TargetMode="External"/><Relationship Id="rId92" Type="http://schemas.openxmlformats.org/officeDocument/2006/relationships/hyperlink" Target="https://maps.app.goo.gl/XgTYdaGrEx6fqsAu7" TargetMode="External"/><Relationship Id="rId2" Type="http://schemas.openxmlformats.org/officeDocument/2006/relationships/hyperlink" Target="https://maps.app.goo.gl/zQKMiLRnw9RziQSh6" TargetMode="External"/><Relationship Id="rId29" Type="http://schemas.openxmlformats.org/officeDocument/2006/relationships/hyperlink" Target="https://maps.app.goo.gl/9QQz9yYaqorifrxK6" TargetMode="External"/><Relationship Id="rId40" Type="http://schemas.openxmlformats.org/officeDocument/2006/relationships/hyperlink" Target="https://maps.app.goo.gl/2SgwR23P63Bd9Trz8" TargetMode="External"/><Relationship Id="rId115" Type="http://schemas.openxmlformats.org/officeDocument/2006/relationships/hyperlink" Target="https://maps.app.goo.gl/1Ppd8cV3b4Fm1p1E9" TargetMode="External"/><Relationship Id="rId136" Type="http://schemas.openxmlformats.org/officeDocument/2006/relationships/hyperlink" Target="https://maps.app.goo.gl/RLRHGDCR8E5Myrz76" TargetMode="External"/><Relationship Id="rId157" Type="http://schemas.openxmlformats.org/officeDocument/2006/relationships/hyperlink" Target="https://maps.app.goo.gl/1oW5EyqTVRY9oRnV7" TargetMode="External"/><Relationship Id="rId178" Type="http://schemas.openxmlformats.org/officeDocument/2006/relationships/hyperlink" Target="https://maps.app.goo.gl/UNNj8RU9cJnWzKFf9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wa3uAPfebF1hxhZS8" TargetMode="External"/><Relationship Id="rId21" Type="http://schemas.openxmlformats.org/officeDocument/2006/relationships/hyperlink" Target="https://maps.app.goo.gl/FsvtpMXYpY3Jrcmt9" TargetMode="External"/><Relationship Id="rId42" Type="http://schemas.openxmlformats.org/officeDocument/2006/relationships/hyperlink" Target="https://maps.app.goo.gl/1ESn5BX3ArcJ1BSSA" TargetMode="External"/><Relationship Id="rId47" Type="http://schemas.openxmlformats.org/officeDocument/2006/relationships/hyperlink" Target="https://maps.app.goo.gl/qn6M7nXQ3LdAEt497" TargetMode="External"/><Relationship Id="rId63" Type="http://schemas.openxmlformats.org/officeDocument/2006/relationships/hyperlink" Target="https://maps.app.goo.gl/areTEFdno8VPnn5V7" TargetMode="External"/><Relationship Id="rId68" Type="http://schemas.openxmlformats.org/officeDocument/2006/relationships/hyperlink" Target="https://maps.app.goo.gl/6t8Q4o9LR9EZcAv56" TargetMode="External"/><Relationship Id="rId84" Type="http://schemas.openxmlformats.org/officeDocument/2006/relationships/hyperlink" Target="https://maps.app.goo.gl/E6qg3MmRHLnd9SV18" TargetMode="External"/><Relationship Id="rId89" Type="http://schemas.openxmlformats.org/officeDocument/2006/relationships/hyperlink" Target="https://maps.app.goo.gl/Lhr7GNA1W6tSA2iS6" TargetMode="External"/><Relationship Id="rId16" Type="http://schemas.openxmlformats.org/officeDocument/2006/relationships/hyperlink" Target="https://maps.app.goo.gl/mRqMhvYnQCuBanHu8" TargetMode="External"/><Relationship Id="rId11" Type="http://schemas.openxmlformats.org/officeDocument/2006/relationships/hyperlink" Target="https://maps.app.goo.gl/Be8qfRo1rLCJyD2X8" TargetMode="External"/><Relationship Id="rId32" Type="http://schemas.openxmlformats.org/officeDocument/2006/relationships/hyperlink" Target="https://maps.app.goo.gl/dGP4GdMrgUUd24TP7" TargetMode="External"/><Relationship Id="rId37" Type="http://schemas.openxmlformats.org/officeDocument/2006/relationships/hyperlink" Target="https://maps.app.goo.gl/WzwzEXQY2ZoRH7pY8" TargetMode="External"/><Relationship Id="rId53" Type="http://schemas.openxmlformats.org/officeDocument/2006/relationships/hyperlink" Target="https://maps.app.goo.gl/CqEbtZhV8y1mQKqy7" TargetMode="External"/><Relationship Id="rId58" Type="http://schemas.openxmlformats.org/officeDocument/2006/relationships/hyperlink" Target="https://maps.app.goo.gl/6t8Q4o9LR9EZcAv56" TargetMode="External"/><Relationship Id="rId74" Type="http://schemas.openxmlformats.org/officeDocument/2006/relationships/hyperlink" Target="https://maps.app.goo.gl/SrbYEuozp4Wvr95G6" TargetMode="External"/><Relationship Id="rId79" Type="http://schemas.openxmlformats.org/officeDocument/2006/relationships/hyperlink" Target="https://maps.app.goo.gl/xb2DNxeZDDDfmHRS8" TargetMode="External"/><Relationship Id="rId5" Type="http://schemas.openxmlformats.org/officeDocument/2006/relationships/hyperlink" Target="https://maps.app.goo.gl/szZhHoHRyeno9ibX7" TargetMode="External"/><Relationship Id="rId90" Type="http://schemas.openxmlformats.org/officeDocument/2006/relationships/hyperlink" Target="https://maps.app.goo.gl/DVq9KBV5KKXCJGjT9" TargetMode="External"/><Relationship Id="rId14" Type="http://schemas.openxmlformats.org/officeDocument/2006/relationships/hyperlink" Target="https://maps.app.goo.gl/X4HqRVDxn88dG3LF7" TargetMode="External"/><Relationship Id="rId22" Type="http://schemas.openxmlformats.org/officeDocument/2006/relationships/hyperlink" Target="https://maps.app.goo.gl/45hhNy6bHoTqzG929" TargetMode="External"/><Relationship Id="rId27" Type="http://schemas.openxmlformats.org/officeDocument/2006/relationships/hyperlink" Target="https://maps.app.goo.gl/K447TNTzTokUA7rc8" TargetMode="External"/><Relationship Id="rId30" Type="http://schemas.openxmlformats.org/officeDocument/2006/relationships/hyperlink" Target="https://maps.app.goo.gl/9uCm4jC7Q2qHkrmq9" TargetMode="External"/><Relationship Id="rId35" Type="http://schemas.openxmlformats.org/officeDocument/2006/relationships/hyperlink" Target="https://maps.app.goo.gl/zYkMJDsUC4iqpAjv7" TargetMode="External"/><Relationship Id="rId43" Type="http://schemas.openxmlformats.org/officeDocument/2006/relationships/hyperlink" Target="https://maps.app.goo.gl/nB7mK7qpmDxMKnwL6" TargetMode="External"/><Relationship Id="rId48" Type="http://schemas.openxmlformats.org/officeDocument/2006/relationships/hyperlink" Target="https://maps.app.goo.gl/fjioowMvrDhzPpEu7" TargetMode="External"/><Relationship Id="rId56" Type="http://schemas.openxmlformats.org/officeDocument/2006/relationships/hyperlink" Target="https://maps.app.goo.gl/pufYMAVjBvWetAGu8" TargetMode="External"/><Relationship Id="rId64" Type="http://schemas.openxmlformats.org/officeDocument/2006/relationships/hyperlink" Target="https://maps.app.goo.gl/wDicK1asnHRc2XUy6" TargetMode="External"/><Relationship Id="rId69" Type="http://schemas.openxmlformats.org/officeDocument/2006/relationships/hyperlink" Target="https://maps.app.goo.gl/m4U7G5LYLi2P63wk6" TargetMode="External"/><Relationship Id="rId77" Type="http://schemas.openxmlformats.org/officeDocument/2006/relationships/hyperlink" Target="https://maps.app.goo.gl/1eFKWkjmXtqrAse57" TargetMode="External"/><Relationship Id="rId8" Type="http://schemas.openxmlformats.org/officeDocument/2006/relationships/hyperlink" Target="https://maps.app.goo.gl/pMxgUUTUUSEtVPFB8" TargetMode="External"/><Relationship Id="rId51" Type="http://schemas.openxmlformats.org/officeDocument/2006/relationships/hyperlink" Target="https://maps.app.goo.gl/c87esYVzxAdXofpD9" TargetMode="External"/><Relationship Id="rId72" Type="http://schemas.openxmlformats.org/officeDocument/2006/relationships/hyperlink" Target="https://maps.app.goo.gl/RZUwFGSjhCmVshGM9" TargetMode="External"/><Relationship Id="rId80" Type="http://schemas.openxmlformats.org/officeDocument/2006/relationships/hyperlink" Target="https://maps.app.goo.gl/6jq5A8nWATbQfZHx9" TargetMode="External"/><Relationship Id="rId85" Type="http://schemas.openxmlformats.org/officeDocument/2006/relationships/hyperlink" Target="https://maps.app.goo.gl/H4wNZ2sCC3Fn45AP9" TargetMode="External"/><Relationship Id="rId3" Type="http://schemas.openxmlformats.org/officeDocument/2006/relationships/hyperlink" Target="https://maps.app.goo.gl/34fGKMS5i3FvqevD6" TargetMode="External"/><Relationship Id="rId12" Type="http://schemas.openxmlformats.org/officeDocument/2006/relationships/hyperlink" Target="https://maps.app.goo.gl/CC1a4SD9SUgxzgDW7" TargetMode="External"/><Relationship Id="rId17" Type="http://schemas.openxmlformats.org/officeDocument/2006/relationships/hyperlink" Target="https://maps.app.goo.gl/g9RMzmWTWEuE1PSN9" TargetMode="External"/><Relationship Id="rId25" Type="http://schemas.openxmlformats.org/officeDocument/2006/relationships/hyperlink" Target="https://maps.app.goo.gl/Ys6fuFMtijcevnAC7" TargetMode="External"/><Relationship Id="rId33" Type="http://schemas.openxmlformats.org/officeDocument/2006/relationships/hyperlink" Target="https://maps.app.goo.gl/BsqUNhm3QBcC9PLn7" TargetMode="External"/><Relationship Id="rId38" Type="http://schemas.openxmlformats.org/officeDocument/2006/relationships/hyperlink" Target="https://maps.app.goo.gl/xzTF4X6YrxPkoC5t8" TargetMode="External"/><Relationship Id="rId46" Type="http://schemas.openxmlformats.org/officeDocument/2006/relationships/hyperlink" Target="https://maps.app.goo.gl/EACbVy89XByJGQdRA" TargetMode="External"/><Relationship Id="rId59" Type="http://schemas.openxmlformats.org/officeDocument/2006/relationships/hyperlink" Target="https://maps.app.goo.gl/m4U7G5LYLi2P63wk6" TargetMode="External"/><Relationship Id="rId67" Type="http://schemas.openxmlformats.org/officeDocument/2006/relationships/hyperlink" Target="https://maps.app.goo.gl/hryoHK2H3qz26dN98" TargetMode="External"/><Relationship Id="rId20" Type="http://schemas.openxmlformats.org/officeDocument/2006/relationships/hyperlink" Target="https://maps.app.goo.gl/CsAEDguBHZGFiHQP6" TargetMode="External"/><Relationship Id="rId41" Type="http://schemas.openxmlformats.org/officeDocument/2006/relationships/hyperlink" Target="https://maps.app.goo.gl/PvBcjviEDLuxCP3KA" TargetMode="External"/><Relationship Id="rId54" Type="http://schemas.openxmlformats.org/officeDocument/2006/relationships/hyperlink" Target="https://maps.app.goo.gl/gvheLsQEEs1UjpW18" TargetMode="External"/><Relationship Id="rId62" Type="http://schemas.openxmlformats.org/officeDocument/2006/relationships/hyperlink" Target="https://maps.app.goo.gl/kibj2N54D31TJUHk6" TargetMode="External"/><Relationship Id="rId70" Type="http://schemas.openxmlformats.org/officeDocument/2006/relationships/hyperlink" Target="https://maps.app.goo.gl/zXnWuSi8BLvvwbbLA" TargetMode="External"/><Relationship Id="rId75" Type="http://schemas.openxmlformats.org/officeDocument/2006/relationships/hyperlink" Target="https://maps.app.goo.gl/E4wqyKBhc8MceAsk7" TargetMode="External"/><Relationship Id="rId83" Type="http://schemas.openxmlformats.org/officeDocument/2006/relationships/hyperlink" Target="https://maps.app.goo.gl/px7TFBKq2xdRpagU9" TargetMode="External"/><Relationship Id="rId88" Type="http://schemas.openxmlformats.org/officeDocument/2006/relationships/hyperlink" Target="https://maps.app.goo.gl/HLtkVGGYiST4nj5V8" TargetMode="External"/><Relationship Id="rId91" Type="http://schemas.openxmlformats.org/officeDocument/2006/relationships/hyperlink" Target="https://maps.app.goo.gl/h8MahW6yii6aTBjQ9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maps.app.goo.gl/4H16AYmruc587pTS9" TargetMode="External"/><Relationship Id="rId15" Type="http://schemas.openxmlformats.org/officeDocument/2006/relationships/hyperlink" Target="https://maps.app.goo.gl/RUoX6ZfrfkwUrXUR8" TargetMode="External"/><Relationship Id="rId23" Type="http://schemas.openxmlformats.org/officeDocument/2006/relationships/hyperlink" Target="https://maps.app.goo.gl/jVkBQSgrtuf3gqJRA" TargetMode="External"/><Relationship Id="rId28" Type="http://schemas.openxmlformats.org/officeDocument/2006/relationships/hyperlink" Target="https://maps.app.goo.gl/e5mc5NEyzjbqz31RA" TargetMode="External"/><Relationship Id="rId36" Type="http://schemas.openxmlformats.org/officeDocument/2006/relationships/hyperlink" Target="https://maps.app.goo.gl/sLfAn588HbQWJpV57" TargetMode="External"/><Relationship Id="rId49" Type="http://schemas.openxmlformats.org/officeDocument/2006/relationships/hyperlink" Target="https://maps.app.goo.gl/C9cdn77fWRqoD29r7" TargetMode="External"/><Relationship Id="rId57" Type="http://schemas.openxmlformats.org/officeDocument/2006/relationships/hyperlink" Target="https://maps.app.goo.gl/hryoHK2H3qz26dN98" TargetMode="External"/><Relationship Id="rId10" Type="http://schemas.openxmlformats.org/officeDocument/2006/relationships/hyperlink" Target="https://maps.app.goo.gl/TR15mrcLyrQAqcLN6" TargetMode="External"/><Relationship Id="rId31" Type="http://schemas.openxmlformats.org/officeDocument/2006/relationships/hyperlink" Target="https://maps.app.goo.gl/197YRXHqCadzhMuHA" TargetMode="External"/><Relationship Id="rId44" Type="http://schemas.openxmlformats.org/officeDocument/2006/relationships/hyperlink" Target="https://maps.app.goo.gl/7h6bMfWzw2pGAjCCA" TargetMode="External"/><Relationship Id="rId52" Type="http://schemas.openxmlformats.org/officeDocument/2006/relationships/hyperlink" Target="https://maps.app.goo.gl/EZMfZrvHzmT3FK1m6" TargetMode="External"/><Relationship Id="rId60" Type="http://schemas.openxmlformats.org/officeDocument/2006/relationships/hyperlink" Target="https://maps.app.goo.gl/zXnWuSi8BLvvwbbLA" TargetMode="External"/><Relationship Id="rId65" Type="http://schemas.openxmlformats.org/officeDocument/2006/relationships/hyperlink" Target="https://maps.app.goo.gl/KkTMDF1kW1nyHHxz5" TargetMode="External"/><Relationship Id="rId73" Type="http://schemas.openxmlformats.org/officeDocument/2006/relationships/hyperlink" Target="https://maps.app.goo.gl/MTqv4uMzowXmNwEx7" TargetMode="External"/><Relationship Id="rId78" Type="http://schemas.openxmlformats.org/officeDocument/2006/relationships/hyperlink" Target="https://maps.app.goo.gl/y3j7Bu67HpoTF5yG7" TargetMode="External"/><Relationship Id="rId81" Type="http://schemas.openxmlformats.org/officeDocument/2006/relationships/hyperlink" Target="https://maps.app.goo.gl/VK8bYpz6nyTyLMGN9" TargetMode="External"/><Relationship Id="rId86" Type="http://schemas.openxmlformats.org/officeDocument/2006/relationships/hyperlink" Target="https://maps.app.goo.gl/76gEjcmfzPM1n1Pz9" TargetMode="External"/><Relationship Id="rId4" Type="http://schemas.openxmlformats.org/officeDocument/2006/relationships/hyperlink" Target="https://maps.app.goo.gl/BGEzEjtYC9VTef3w5" TargetMode="External"/><Relationship Id="rId9" Type="http://schemas.openxmlformats.org/officeDocument/2006/relationships/hyperlink" Target="https://maps.app.goo.gl/Lxyosg9qh5Uzt96W8" TargetMode="External"/><Relationship Id="rId13" Type="http://schemas.openxmlformats.org/officeDocument/2006/relationships/hyperlink" Target="https://maps.app.goo.gl/dZDq1dyg4zxVBXdr7" TargetMode="External"/><Relationship Id="rId18" Type="http://schemas.openxmlformats.org/officeDocument/2006/relationships/hyperlink" Target="https://maps.app.goo.gl/aTvTHNt9bA5fmBAe9" TargetMode="External"/><Relationship Id="rId39" Type="http://schemas.openxmlformats.org/officeDocument/2006/relationships/hyperlink" Target="https://maps.app.goo.gl/QYAcqpRcYNUMChMr6" TargetMode="External"/><Relationship Id="rId34" Type="http://schemas.openxmlformats.org/officeDocument/2006/relationships/hyperlink" Target="https://maps.app.goo.gl/2LTdFkXrpxMxFPERA" TargetMode="External"/><Relationship Id="rId50" Type="http://schemas.openxmlformats.org/officeDocument/2006/relationships/hyperlink" Target="https://maps.app.goo.gl/3Z7y8Fhcr4AjuDnd8" TargetMode="External"/><Relationship Id="rId55" Type="http://schemas.openxmlformats.org/officeDocument/2006/relationships/hyperlink" Target="https://maps.app.goo.gl/7pUYT7tWqhG7QUs86" TargetMode="External"/><Relationship Id="rId76" Type="http://schemas.openxmlformats.org/officeDocument/2006/relationships/hyperlink" Target="https://maps.app.goo.gl/ZKFjGfXVXmGTY92m6" TargetMode="External"/><Relationship Id="rId7" Type="http://schemas.openxmlformats.org/officeDocument/2006/relationships/hyperlink" Target="https://maps.app.goo.gl/Gjkkb4igdtAQd3JH9" TargetMode="External"/><Relationship Id="rId71" Type="http://schemas.openxmlformats.org/officeDocument/2006/relationships/hyperlink" Target="https://maps.app.goo.gl/bBcQbMqHTxLoyGnH6" TargetMode="External"/><Relationship Id="rId2" Type="http://schemas.openxmlformats.org/officeDocument/2006/relationships/hyperlink" Target="https://maps.app.goo.gl/QNWKnhprAJ5gZAmUA" TargetMode="External"/><Relationship Id="rId29" Type="http://schemas.openxmlformats.org/officeDocument/2006/relationships/hyperlink" Target="https://maps.app.goo.gl/quEJ2tfDWBUKViut6" TargetMode="External"/><Relationship Id="rId24" Type="http://schemas.openxmlformats.org/officeDocument/2006/relationships/hyperlink" Target="https://maps.app.goo.gl/RXjdq8D4BvSQjY1r6" TargetMode="External"/><Relationship Id="rId40" Type="http://schemas.openxmlformats.org/officeDocument/2006/relationships/hyperlink" Target="https://maps.app.goo.gl/2JzxWoUAnkF171yz6" TargetMode="External"/><Relationship Id="rId45" Type="http://schemas.openxmlformats.org/officeDocument/2006/relationships/hyperlink" Target="https://maps.app.goo.gl/wNCCaFrba6RjNLHf9" TargetMode="External"/><Relationship Id="rId66" Type="http://schemas.openxmlformats.org/officeDocument/2006/relationships/hyperlink" Target="https://maps.app.goo.gl/Q8MgC11NoCLoAHqA9" TargetMode="External"/><Relationship Id="rId87" Type="http://schemas.openxmlformats.org/officeDocument/2006/relationships/hyperlink" Target="https://maps.app.goo.gl/fJt1FVvSNYZ3PUz18" TargetMode="External"/><Relationship Id="rId61" Type="http://schemas.openxmlformats.org/officeDocument/2006/relationships/hyperlink" Target="https://maps.app.goo.gl/bBcQbMqHTxLoyGnH6" TargetMode="External"/><Relationship Id="rId82" Type="http://schemas.openxmlformats.org/officeDocument/2006/relationships/hyperlink" Target="https://maps.app.goo.gl/QYE7UDQKzT5a1qXr7" TargetMode="External"/><Relationship Id="rId19" Type="http://schemas.openxmlformats.org/officeDocument/2006/relationships/hyperlink" Target="https://maps.app.goo.gl/HezBKeBy68i2pE6T6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7bG729yFDy8Dquzv5" TargetMode="External"/><Relationship Id="rId21" Type="http://schemas.openxmlformats.org/officeDocument/2006/relationships/hyperlink" Target="https://maps.app.goo.gl/A8WPn23LLevEehMG8" TargetMode="External"/><Relationship Id="rId42" Type="http://schemas.openxmlformats.org/officeDocument/2006/relationships/hyperlink" Target="https://maps.app.goo.gl/7mbsUxP3eY37PbU96" TargetMode="External"/><Relationship Id="rId47" Type="http://schemas.openxmlformats.org/officeDocument/2006/relationships/hyperlink" Target="https://maps.app.goo.gl/QWTrvUPPMqTB1SMq6" TargetMode="External"/><Relationship Id="rId63" Type="http://schemas.openxmlformats.org/officeDocument/2006/relationships/hyperlink" Target="https://maps.app.goo.gl/YJKk2YKHJMg8LVjB6" TargetMode="External"/><Relationship Id="rId68" Type="http://schemas.openxmlformats.org/officeDocument/2006/relationships/hyperlink" Target="https://maps.app.goo.gl/UNNj8RU9cJnWzKFf9" TargetMode="External"/><Relationship Id="rId2" Type="http://schemas.openxmlformats.org/officeDocument/2006/relationships/hyperlink" Target="https://maps.app.goo.gl/zQKMiLRnw9RziQSh6" TargetMode="External"/><Relationship Id="rId16" Type="http://schemas.openxmlformats.org/officeDocument/2006/relationships/hyperlink" Target="https://maps.app.goo.gl/56uLnH9PcqFhu3Ww9" TargetMode="External"/><Relationship Id="rId29" Type="http://schemas.openxmlformats.org/officeDocument/2006/relationships/hyperlink" Target="https://maps.app.goo.gl/6mGD57hiS71bpX9u9" TargetMode="External"/><Relationship Id="rId11" Type="http://schemas.openxmlformats.org/officeDocument/2006/relationships/hyperlink" Target="https://maps.app.goo.gl/quEJ2tfDWBUKViut6" TargetMode="External"/><Relationship Id="rId24" Type="http://schemas.openxmlformats.org/officeDocument/2006/relationships/hyperlink" Target="https://maps.app.goo.gl/fjioowMvrDhzPpEu7" TargetMode="External"/><Relationship Id="rId32" Type="http://schemas.openxmlformats.org/officeDocument/2006/relationships/hyperlink" Target="https://maps.app.goo.gl/XgTYdaGrEx6fqsAu7" TargetMode="External"/><Relationship Id="rId37" Type="http://schemas.openxmlformats.org/officeDocument/2006/relationships/hyperlink" Target="https://maps.app.goo.gl/ds9YAhWiKtyVKb689" TargetMode="External"/><Relationship Id="rId40" Type="http://schemas.openxmlformats.org/officeDocument/2006/relationships/hyperlink" Target="https://maps.app.goo.gl/1Ppd8cV3b4Fm1p1E9" TargetMode="External"/><Relationship Id="rId45" Type="http://schemas.openxmlformats.org/officeDocument/2006/relationships/hyperlink" Target="https://maps.app.goo.gl/NeEvbTGDCA55QnT29" TargetMode="External"/><Relationship Id="rId53" Type="http://schemas.openxmlformats.org/officeDocument/2006/relationships/hyperlink" Target="https://maps.app.goo.gl/EHNcf8pSUF7o2WJY6" TargetMode="External"/><Relationship Id="rId58" Type="http://schemas.openxmlformats.org/officeDocument/2006/relationships/hyperlink" Target="https://maps.app.goo.gl/RLRHGDCR8E5Myrz76" TargetMode="External"/><Relationship Id="rId66" Type="http://schemas.openxmlformats.org/officeDocument/2006/relationships/hyperlink" Target="https://maps.app.goo.gl/E4wqyKBhc8MceAsk7" TargetMode="External"/><Relationship Id="rId5" Type="http://schemas.openxmlformats.org/officeDocument/2006/relationships/hyperlink" Target="https://maps.app.goo.gl/dZDq1dyg4zxVBXdr7" TargetMode="External"/><Relationship Id="rId61" Type="http://schemas.openxmlformats.org/officeDocument/2006/relationships/hyperlink" Target="https://maps.app.goo.gl/mHpPAbdXaeDmFJn2A" TargetMode="External"/><Relationship Id="rId19" Type="http://schemas.openxmlformats.org/officeDocument/2006/relationships/hyperlink" Target="https://maps.app.goo.gl/2jvbcXwEsGKPAHL58" TargetMode="External"/><Relationship Id="rId14" Type="http://schemas.openxmlformats.org/officeDocument/2006/relationships/hyperlink" Target="https://maps.app.goo.gl/2SgwR23P63Bd9Trz8" TargetMode="External"/><Relationship Id="rId22" Type="http://schemas.openxmlformats.org/officeDocument/2006/relationships/hyperlink" Target="https://maps.app.goo.gl/TvqHZpg1UKcyHJyA8" TargetMode="External"/><Relationship Id="rId27" Type="http://schemas.openxmlformats.org/officeDocument/2006/relationships/hyperlink" Target="https://maps.app.goo.gl/LnWJe9qFZrGnZbAm7" TargetMode="External"/><Relationship Id="rId30" Type="http://schemas.openxmlformats.org/officeDocument/2006/relationships/hyperlink" Target="https://maps.app.goo.gl/5HboY2v6uKWC16y29" TargetMode="External"/><Relationship Id="rId35" Type="http://schemas.openxmlformats.org/officeDocument/2006/relationships/hyperlink" Target="https://maps.app.goo.gl/W18Kd3H9ZbDch8DJ9" TargetMode="External"/><Relationship Id="rId43" Type="http://schemas.openxmlformats.org/officeDocument/2006/relationships/hyperlink" Target="https://maps.app.goo.gl/2nCBY6bBpLvegbVt5" TargetMode="External"/><Relationship Id="rId48" Type="http://schemas.openxmlformats.org/officeDocument/2006/relationships/hyperlink" Target="https://maps.app.goo.gl/F9FsoccepN8fxVSG7" TargetMode="External"/><Relationship Id="rId56" Type="http://schemas.openxmlformats.org/officeDocument/2006/relationships/hyperlink" Target="https://maps.app.goo.gl/BpTbqEr4B6ZvmakJ8" TargetMode="External"/><Relationship Id="rId64" Type="http://schemas.openxmlformats.org/officeDocument/2006/relationships/hyperlink" Target="https://maps.app.goo.gl/UQLBrWnu4Xob1EEC8" TargetMode="External"/><Relationship Id="rId69" Type="http://schemas.openxmlformats.org/officeDocument/2006/relationships/hyperlink" Target="https://maps.app.goo.gl/pJEgvitVF6LfkWQ99" TargetMode="External"/><Relationship Id="rId8" Type="http://schemas.openxmlformats.org/officeDocument/2006/relationships/hyperlink" Target="https://maps.app.goo.gl/jQPpds4zfikgE1c5A" TargetMode="External"/><Relationship Id="rId51" Type="http://schemas.openxmlformats.org/officeDocument/2006/relationships/hyperlink" Target="https://maps.app.goo.gl/tzP5a1PJ4xaizEjB9" TargetMode="External"/><Relationship Id="rId72" Type="http://schemas.openxmlformats.org/officeDocument/2006/relationships/hyperlink" Target="https://maps.app.goo.gl/DVq9KBV5KKXCJGjT9" TargetMode="External"/><Relationship Id="rId3" Type="http://schemas.openxmlformats.org/officeDocument/2006/relationships/hyperlink" Target="https://maps.app.goo.gl/3B8ZhGzqW2v8Pb5R7" TargetMode="External"/><Relationship Id="rId12" Type="http://schemas.openxmlformats.org/officeDocument/2006/relationships/hyperlink" Target="https://maps.app.goo.gl/9i9PJaGa1Pcj6XmM7" TargetMode="External"/><Relationship Id="rId17" Type="http://schemas.openxmlformats.org/officeDocument/2006/relationships/hyperlink" Target="https://maps.app.goo.gl/rVmMcUmL29mr7ncC8" TargetMode="External"/><Relationship Id="rId25" Type="http://schemas.openxmlformats.org/officeDocument/2006/relationships/hyperlink" Target="https://maps.app.goo.gl/c87esYVzxAdXofpD9" TargetMode="External"/><Relationship Id="rId33" Type="http://schemas.openxmlformats.org/officeDocument/2006/relationships/hyperlink" Target="https://maps.app.goo.gl/hbAMYBHfA6r6Fkr46" TargetMode="External"/><Relationship Id="rId38" Type="http://schemas.openxmlformats.org/officeDocument/2006/relationships/hyperlink" Target="https://maps.app.goo.gl/RqgTZN6mZo8AcgBh8" TargetMode="External"/><Relationship Id="rId46" Type="http://schemas.openxmlformats.org/officeDocument/2006/relationships/hyperlink" Target="https://maps.app.goo.gl/Nauro52Ep9Ksx6P48" TargetMode="External"/><Relationship Id="rId59" Type="http://schemas.openxmlformats.org/officeDocument/2006/relationships/hyperlink" Target="https://maps.app.goo.gl/MrfAvdVwLDPzqM3t5" TargetMode="External"/><Relationship Id="rId67" Type="http://schemas.openxmlformats.org/officeDocument/2006/relationships/hyperlink" Target="https://maps.app.goo.gl/bVa56rn7MDvG4Vdy9" TargetMode="External"/><Relationship Id="rId20" Type="http://schemas.openxmlformats.org/officeDocument/2006/relationships/hyperlink" Target="https://maps.app.goo.gl/CXPq8x649kh8iwZj8" TargetMode="External"/><Relationship Id="rId41" Type="http://schemas.openxmlformats.org/officeDocument/2006/relationships/hyperlink" Target="https://maps.app.goo.gl/7mbsUxP3eY37PbU96" TargetMode="External"/><Relationship Id="rId54" Type="http://schemas.openxmlformats.org/officeDocument/2006/relationships/hyperlink" Target="https://maps.app.goo.gl/ktUJrggvkBAWFapg8" TargetMode="External"/><Relationship Id="rId62" Type="http://schemas.openxmlformats.org/officeDocument/2006/relationships/hyperlink" Target="https://maps.app.goo.gl/APm1CMCv3BLGAWYJA" TargetMode="External"/><Relationship Id="rId70" Type="http://schemas.openxmlformats.org/officeDocument/2006/relationships/hyperlink" Target="https://maps.app.goo.gl/R8n6KZiDRfFLE3Pw6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maps.app.goo.gl/LYPPy5VnmPr4H6zw6" TargetMode="External"/><Relationship Id="rId15" Type="http://schemas.openxmlformats.org/officeDocument/2006/relationships/hyperlink" Target="https://maps.app.goo.gl/JHnpWDgSJXyPiaxB7" TargetMode="External"/><Relationship Id="rId23" Type="http://schemas.openxmlformats.org/officeDocument/2006/relationships/hyperlink" Target="https://maps.app.goo.gl/KDa9JrLdtwsTVVvUA" TargetMode="External"/><Relationship Id="rId28" Type="http://schemas.openxmlformats.org/officeDocument/2006/relationships/hyperlink" Target="https://maps.app.goo.gl/oJ2mcdd7aV6b9UBPA" TargetMode="External"/><Relationship Id="rId36" Type="http://schemas.openxmlformats.org/officeDocument/2006/relationships/hyperlink" Target="https://maps.app.goo.gl/9ihRAdderwHhXkdUA" TargetMode="External"/><Relationship Id="rId49" Type="http://schemas.openxmlformats.org/officeDocument/2006/relationships/hyperlink" Target="https://maps.app.goo.gl/AnMjBgcs5yf8a5RB9" TargetMode="External"/><Relationship Id="rId57" Type="http://schemas.openxmlformats.org/officeDocument/2006/relationships/hyperlink" Target="https://maps.app.goo.gl/mWViUJKs8Bf5pKFr9" TargetMode="External"/><Relationship Id="rId10" Type="http://schemas.openxmlformats.org/officeDocument/2006/relationships/hyperlink" Target="https://maps.app.goo.gl/aTvTHNt9bA5fmBAe9" TargetMode="External"/><Relationship Id="rId31" Type="http://schemas.openxmlformats.org/officeDocument/2006/relationships/hyperlink" Target="https://maps.app.goo.gl/gBe6YrL7SGCF318m8" TargetMode="External"/><Relationship Id="rId44" Type="http://schemas.openxmlformats.org/officeDocument/2006/relationships/hyperlink" Target="https://maps.app.goo.gl/6Ma2ruogEqvcwHsb7" TargetMode="External"/><Relationship Id="rId52" Type="http://schemas.openxmlformats.org/officeDocument/2006/relationships/hyperlink" Target="https://maps.app.goo.gl/WAGF3raXgK14D5PK8" TargetMode="External"/><Relationship Id="rId60" Type="http://schemas.openxmlformats.org/officeDocument/2006/relationships/hyperlink" Target="https://maps.app.goo.gl/FyaY9fg4MYmzZF4TA" TargetMode="External"/><Relationship Id="rId65" Type="http://schemas.openxmlformats.org/officeDocument/2006/relationships/hyperlink" Target="https://maps.app.goo.gl/SrbYEuozp4Wvr95G6" TargetMode="External"/><Relationship Id="rId73" Type="http://schemas.openxmlformats.org/officeDocument/2006/relationships/hyperlink" Target="https://maps.app.goo.gl/RWyvkQ91hoHLPvZw9" TargetMode="External"/><Relationship Id="rId4" Type="http://schemas.openxmlformats.org/officeDocument/2006/relationships/hyperlink" Target="https://maps.app.goo.gl/aQTVy4qYCbXqdmMK6" TargetMode="External"/><Relationship Id="rId9" Type="http://schemas.openxmlformats.org/officeDocument/2006/relationships/hyperlink" Target="https://maps.app.goo.gl/1uLJP4erCsEjCbMd6" TargetMode="External"/><Relationship Id="rId13" Type="http://schemas.openxmlformats.org/officeDocument/2006/relationships/hyperlink" Target="https://maps.app.goo.gl/qERXRsREvXWFaEvw9" TargetMode="External"/><Relationship Id="rId18" Type="http://schemas.openxmlformats.org/officeDocument/2006/relationships/hyperlink" Target="https://maps.app.goo.gl/K2VQw26SGWpvXiEm9" TargetMode="External"/><Relationship Id="rId39" Type="http://schemas.openxmlformats.org/officeDocument/2006/relationships/hyperlink" Target="https://maps.app.goo.gl/4V4y8rLYVxZghnY28" TargetMode="External"/><Relationship Id="rId34" Type="http://schemas.openxmlformats.org/officeDocument/2006/relationships/hyperlink" Target="https://maps.app.goo.gl/Niebe8kvJMLAUbya6" TargetMode="External"/><Relationship Id="rId50" Type="http://schemas.openxmlformats.org/officeDocument/2006/relationships/hyperlink" Target="https://maps.app.goo.gl/CSzVstPSDNLdCmwQ6" TargetMode="External"/><Relationship Id="rId55" Type="http://schemas.openxmlformats.org/officeDocument/2006/relationships/hyperlink" Target="https://maps.app.goo.gl/XbboprSC6sEMmY9z5" TargetMode="External"/><Relationship Id="rId7" Type="http://schemas.openxmlformats.org/officeDocument/2006/relationships/hyperlink" Target="https://maps.app.goo.gl/RKG9c9JhXiFJGTtx7" TargetMode="External"/><Relationship Id="rId71" Type="http://schemas.openxmlformats.org/officeDocument/2006/relationships/hyperlink" Target="https://maps.app.goo.gl/6qwJ2jqBntNpsxCq9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TgpFra9btuiWvDsW8" TargetMode="External"/><Relationship Id="rId21" Type="http://schemas.openxmlformats.org/officeDocument/2006/relationships/hyperlink" Target="https://maps.app.goo.gl/rmYs6yEBiaoBL58q9" TargetMode="External"/><Relationship Id="rId42" Type="http://schemas.openxmlformats.org/officeDocument/2006/relationships/hyperlink" Target="https://maps.app.goo.gl/h3Pq3yVjwdgtUjFJ6" TargetMode="External"/><Relationship Id="rId63" Type="http://schemas.openxmlformats.org/officeDocument/2006/relationships/hyperlink" Target="https://maps.app.goo.gl/Tytywporv6e9L9qJ8" TargetMode="External"/><Relationship Id="rId84" Type="http://schemas.openxmlformats.org/officeDocument/2006/relationships/hyperlink" Target="https://maps.app.goo.gl/8MSaPeXj9U9Nv9z2A" TargetMode="External"/><Relationship Id="rId138" Type="http://schemas.openxmlformats.org/officeDocument/2006/relationships/hyperlink" Target="https://maps.app.goo.gl/QYE7UDQKzT5a1qXr7" TargetMode="External"/><Relationship Id="rId107" Type="http://schemas.openxmlformats.org/officeDocument/2006/relationships/hyperlink" Target="https://maps.app.goo.gl/UNsrtNT5wggWkhJY6" TargetMode="External"/><Relationship Id="rId11" Type="http://schemas.openxmlformats.org/officeDocument/2006/relationships/hyperlink" Target="https://maps.app.goo.gl/X4HqRVDxn88dG3LF7" TargetMode="External"/><Relationship Id="rId32" Type="http://schemas.openxmlformats.org/officeDocument/2006/relationships/hyperlink" Target="https://maps.app.goo.gl/Gfifr5u1wPCaJgJd6" TargetMode="External"/><Relationship Id="rId53" Type="http://schemas.openxmlformats.org/officeDocument/2006/relationships/hyperlink" Target="https://maps.app.goo.gl/XJ6owUw26tjsmy1t9" TargetMode="External"/><Relationship Id="rId74" Type="http://schemas.openxmlformats.org/officeDocument/2006/relationships/hyperlink" Target="https://maps.app.goo.gl/mKBQkSiMZdwSUpW86" TargetMode="External"/><Relationship Id="rId128" Type="http://schemas.openxmlformats.org/officeDocument/2006/relationships/hyperlink" Target="https://maps.app.goo.gl/6jq5A8nWATbQfZHx9" TargetMode="External"/><Relationship Id="rId149" Type="http://schemas.openxmlformats.org/officeDocument/2006/relationships/hyperlink" Target="https://maps.app.goo.gl/fJt1FVvSNYZ3PUz18" TargetMode="External"/><Relationship Id="rId5" Type="http://schemas.openxmlformats.org/officeDocument/2006/relationships/hyperlink" Target="https://maps.app.goo.gl/BGEzEjtYC9VTef3w5" TargetMode="External"/><Relationship Id="rId95" Type="http://schemas.openxmlformats.org/officeDocument/2006/relationships/hyperlink" Target="https://maps.app.goo.gl/QAZHK8YLJpUk5GsF6" TargetMode="External"/><Relationship Id="rId22" Type="http://schemas.openxmlformats.org/officeDocument/2006/relationships/hyperlink" Target="https://maps.app.goo.gl/ZyPzrULx1MLcovEJ8" TargetMode="External"/><Relationship Id="rId27" Type="http://schemas.openxmlformats.org/officeDocument/2006/relationships/hyperlink" Target="https://maps.app.goo.gl/g9RMzmWTWEuE1PSN9" TargetMode="External"/><Relationship Id="rId43" Type="http://schemas.openxmlformats.org/officeDocument/2006/relationships/hyperlink" Target="https://maps.app.goo.gl/wbA9gryizMWnQtjb6" TargetMode="External"/><Relationship Id="rId48" Type="http://schemas.openxmlformats.org/officeDocument/2006/relationships/hyperlink" Target="https://maps.app.goo.gl/G5kAV5PPHoegSQdB7" TargetMode="External"/><Relationship Id="rId64" Type="http://schemas.openxmlformats.org/officeDocument/2006/relationships/hyperlink" Target="https://maps.app.goo.gl/51RHJ8f66GdxhXgs9" TargetMode="External"/><Relationship Id="rId69" Type="http://schemas.openxmlformats.org/officeDocument/2006/relationships/hyperlink" Target="https://maps.app.goo.gl/tUn82nLchDJ9PnCh9" TargetMode="External"/><Relationship Id="rId113" Type="http://schemas.openxmlformats.org/officeDocument/2006/relationships/hyperlink" Target="https://maps.app.goo.gl/qsku31xL88XC1mtz6" TargetMode="External"/><Relationship Id="rId118" Type="http://schemas.openxmlformats.org/officeDocument/2006/relationships/hyperlink" Target="https://maps.app.goo.gl/sRmdtqWSxyuBhgKN9" TargetMode="External"/><Relationship Id="rId134" Type="http://schemas.openxmlformats.org/officeDocument/2006/relationships/hyperlink" Target="https://maps.app.goo.gl/xkQq5Pux4Rx1uT4c6" TargetMode="External"/><Relationship Id="rId139" Type="http://schemas.openxmlformats.org/officeDocument/2006/relationships/hyperlink" Target="https://maps.app.goo.gl/px7TFBKq2xdRpagU9" TargetMode="External"/><Relationship Id="rId80" Type="http://schemas.openxmlformats.org/officeDocument/2006/relationships/hyperlink" Target="https://maps.app.goo.gl/FvcNQMJSpgww2Hv7A" TargetMode="External"/><Relationship Id="rId85" Type="http://schemas.openxmlformats.org/officeDocument/2006/relationships/hyperlink" Target="https://maps.app.goo.gl/KBGUaph3xW5YxFxL9" TargetMode="External"/><Relationship Id="rId150" Type="http://schemas.openxmlformats.org/officeDocument/2006/relationships/hyperlink" Target="https://maps.app.goo.gl/h8MahW6yii6aTBjQ9" TargetMode="External"/><Relationship Id="rId12" Type="http://schemas.openxmlformats.org/officeDocument/2006/relationships/hyperlink" Target="https://maps.app.goo.gl/gF8nNigdUrRL2XuJ6" TargetMode="External"/><Relationship Id="rId17" Type="http://schemas.openxmlformats.org/officeDocument/2006/relationships/hyperlink" Target="https://maps.app.goo.gl/HFf13V4A8E7P1mR58" TargetMode="External"/><Relationship Id="rId33" Type="http://schemas.openxmlformats.org/officeDocument/2006/relationships/hyperlink" Target="https://maps.app.goo.gl/56uSn3DNXL8Vatxx7" TargetMode="External"/><Relationship Id="rId38" Type="http://schemas.openxmlformats.org/officeDocument/2006/relationships/hyperlink" Target="https://maps.app.goo.gl/A8yfhyUFYDRn88Sm6" TargetMode="External"/><Relationship Id="rId59" Type="http://schemas.openxmlformats.org/officeDocument/2006/relationships/hyperlink" Target="https://maps.app.goo.gl/ieFFtgXyY1A7RbTN9" TargetMode="External"/><Relationship Id="rId103" Type="http://schemas.openxmlformats.org/officeDocument/2006/relationships/hyperlink" Target="https://maps.app.goo.gl/hryoHK2H3qz26dN98" TargetMode="External"/><Relationship Id="rId108" Type="http://schemas.openxmlformats.org/officeDocument/2006/relationships/hyperlink" Target="https://maps.app.goo.gl/ss93NukzhwUkbGGW6" TargetMode="External"/><Relationship Id="rId124" Type="http://schemas.openxmlformats.org/officeDocument/2006/relationships/hyperlink" Target="https://maps.app.goo.gl/zVBeL5pWbrGfxkSa7" TargetMode="External"/><Relationship Id="rId129" Type="http://schemas.openxmlformats.org/officeDocument/2006/relationships/hyperlink" Target="https://maps.app.goo.gl/VK8bYpz6nyTyLMGN9" TargetMode="External"/><Relationship Id="rId54" Type="http://schemas.openxmlformats.org/officeDocument/2006/relationships/hyperlink" Target="https://maps.app.goo.gl/fPsN8ACEcUQc4Bpb7" TargetMode="External"/><Relationship Id="rId70" Type="http://schemas.openxmlformats.org/officeDocument/2006/relationships/hyperlink" Target="https://maps.app.goo.gl/qn6M7nXQ3LdAEt497" TargetMode="External"/><Relationship Id="rId75" Type="http://schemas.openxmlformats.org/officeDocument/2006/relationships/hyperlink" Target="https://maps.app.goo.gl/yAJGLpJPNnbgrrih9" TargetMode="External"/><Relationship Id="rId91" Type="http://schemas.openxmlformats.org/officeDocument/2006/relationships/hyperlink" Target="https://maps.app.goo.gl/m4U7G5LYLi2P63wk6" TargetMode="External"/><Relationship Id="rId96" Type="http://schemas.openxmlformats.org/officeDocument/2006/relationships/hyperlink" Target="https://maps.app.goo.gl/areTEFdno8VPnn5V7" TargetMode="External"/><Relationship Id="rId140" Type="http://schemas.openxmlformats.org/officeDocument/2006/relationships/hyperlink" Target="https://maps.app.goo.gl/E6qg3MmRHLnd9SV18" TargetMode="External"/><Relationship Id="rId145" Type="http://schemas.openxmlformats.org/officeDocument/2006/relationships/hyperlink" Target="https://maps.app.goo.gl/avSoLBL7ZoiikyGr5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maps.app.goo.gl/szZhHoHRyeno9ibX7" TargetMode="External"/><Relationship Id="rId23" Type="http://schemas.openxmlformats.org/officeDocument/2006/relationships/hyperlink" Target="https://maps.app.goo.gl/usXKu7wZoNXa4RJU8" TargetMode="External"/><Relationship Id="rId28" Type="http://schemas.openxmlformats.org/officeDocument/2006/relationships/hyperlink" Target="https://maps.app.goo.gl/CsAEDguBHZGFiHQP6" TargetMode="External"/><Relationship Id="rId49" Type="http://schemas.openxmlformats.org/officeDocument/2006/relationships/hyperlink" Target="https://maps.app.goo.gl/WzwzEXQY2ZoRH7pY8" TargetMode="External"/><Relationship Id="rId114" Type="http://schemas.openxmlformats.org/officeDocument/2006/relationships/hyperlink" Target="https://maps.app.goo.gl/n3YXJ1WvBEfuoJkq6" TargetMode="External"/><Relationship Id="rId119" Type="http://schemas.openxmlformats.org/officeDocument/2006/relationships/hyperlink" Target="https://maps.app.goo.gl/RZUwFGSjhCmVshGM9" TargetMode="External"/><Relationship Id="rId44" Type="http://schemas.openxmlformats.org/officeDocument/2006/relationships/hyperlink" Target="https://maps.app.goo.gl/wptQJDBKo7tC7L4R8" TargetMode="External"/><Relationship Id="rId60" Type="http://schemas.openxmlformats.org/officeDocument/2006/relationships/hyperlink" Target="https://maps.app.goo.gl/TAVMet4JKXqkLSEy5" TargetMode="External"/><Relationship Id="rId65" Type="http://schemas.openxmlformats.org/officeDocument/2006/relationships/hyperlink" Target="https://maps.app.goo.gl/foFGV417Wxnueri59" TargetMode="External"/><Relationship Id="rId81" Type="http://schemas.openxmlformats.org/officeDocument/2006/relationships/hyperlink" Target="https://maps.app.goo.gl/xBF6RpzPfLdQwkNF8" TargetMode="External"/><Relationship Id="rId86" Type="http://schemas.openxmlformats.org/officeDocument/2006/relationships/hyperlink" Target="https://maps.app.goo.gl/wrzSq3AgwqTW5VXc8" TargetMode="External"/><Relationship Id="rId130" Type="http://schemas.openxmlformats.org/officeDocument/2006/relationships/hyperlink" Target="https://maps.app.goo.gl/8mhNHs1X5XToWmZK9" TargetMode="External"/><Relationship Id="rId135" Type="http://schemas.openxmlformats.org/officeDocument/2006/relationships/hyperlink" Target="https://maps.app.goo.gl/FYcifXwevE523wg79" TargetMode="External"/><Relationship Id="rId151" Type="http://schemas.openxmlformats.org/officeDocument/2006/relationships/hyperlink" Target="https://maps.app.goo.gl/91WGK16EK8MmVYxG8" TargetMode="External"/><Relationship Id="rId13" Type="http://schemas.openxmlformats.org/officeDocument/2006/relationships/hyperlink" Target="https://maps.app.goo.gl/FyP4BF3uzXvpEooY7" TargetMode="External"/><Relationship Id="rId18" Type="http://schemas.openxmlformats.org/officeDocument/2006/relationships/hyperlink" Target="https://maps.app.goo.gl/KvKR3ZquYniyomrb6" TargetMode="External"/><Relationship Id="rId39" Type="http://schemas.openxmlformats.org/officeDocument/2006/relationships/hyperlink" Target="https://maps.app.goo.gl/MQ7P8YbDAftJptha9" TargetMode="External"/><Relationship Id="rId109" Type="http://schemas.openxmlformats.org/officeDocument/2006/relationships/hyperlink" Target="https://maps.app.goo.gl/3nGf7tMoy8p2by256" TargetMode="External"/><Relationship Id="rId34" Type="http://schemas.openxmlformats.org/officeDocument/2006/relationships/hyperlink" Target="https://maps.app.goo.gl/qC8LoaP2qSVdkPuBA" TargetMode="External"/><Relationship Id="rId50" Type="http://schemas.openxmlformats.org/officeDocument/2006/relationships/hyperlink" Target="https://maps.app.goo.gl/q6jTvwsWxW7TTFJeA" TargetMode="External"/><Relationship Id="rId55" Type="http://schemas.openxmlformats.org/officeDocument/2006/relationships/hyperlink" Target="https://maps.app.goo.gl/Dbtzbys5wWtjggn97" TargetMode="External"/><Relationship Id="rId76" Type="http://schemas.openxmlformats.org/officeDocument/2006/relationships/hyperlink" Target="https://maps.app.goo.gl/EZMfZrvHzmT3FK1m6" TargetMode="External"/><Relationship Id="rId97" Type="http://schemas.openxmlformats.org/officeDocument/2006/relationships/hyperlink" Target="https://maps.app.goo.gl/wDicK1asnHRc2XUy6" TargetMode="External"/><Relationship Id="rId104" Type="http://schemas.openxmlformats.org/officeDocument/2006/relationships/hyperlink" Target="https://maps.app.goo.gl/6t8Q4o9LR9EZcAv56" TargetMode="External"/><Relationship Id="rId120" Type="http://schemas.openxmlformats.org/officeDocument/2006/relationships/hyperlink" Target="https://maps.app.goo.gl/rtH5fN1xqASULepG7" TargetMode="External"/><Relationship Id="rId125" Type="http://schemas.openxmlformats.org/officeDocument/2006/relationships/hyperlink" Target="https://maps.app.goo.gl/1eFKWkjmXtqrAse57" TargetMode="External"/><Relationship Id="rId141" Type="http://schemas.openxmlformats.org/officeDocument/2006/relationships/hyperlink" Target="https://maps.app.goo.gl/H4wNZ2sCC3Fn45AP9" TargetMode="External"/><Relationship Id="rId146" Type="http://schemas.openxmlformats.org/officeDocument/2006/relationships/hyperlink" Target="https://maps.app.goo.gl/HbavHWZzPp2iiKpaA" TargetMode="External"/><Relationship Id="rId7" Type="http://schemas.openxmlformats.org/officeDocument/2006/relationships/hyperlink" Target="https://maps.app.goo.gl/4H16AYmruc587pTS9" TargetMode="External"/><Relationship Id="rId71" Type="http://schemas.openxmlformats.org/officeDocument/2006/relationships/hyperlink" Target="https://maps.app.goo.gl/C9cdn77fWRqoD29r7" TargetMode="External"/><Relationship Id="rId92" Type="http://schemas.openxmlformats.org/officeDocument/2006/relationships/hyperlink" Target="https://maps.app.goo.gl/bBcQbMqHTxLoyGnH6" TargetMode="External"/><Relationship Id="rId2" Type="http://schemas.openxmlformats.org/officeDocument/2006/relationships/hyperlink" Target="https://maps.app.goo.gl/jm5JRZPhwYTUJqSR9" TargetMode="External"/><Relationship Id="rId29" Type="http://schemas.openxmlformats.org/officeDocument/2006/relationships/hyperlink" Target="https://maps.app.goo.gl/45hhNy6bHoTqzG929" TargetMode="External"/><Relationship Id="rId24" Type="http://schemas.openxmlformats.org/officeDocument/2006/relationships/hyperlink" Target="https://maps.app.goo.gl/QkSgQsQW6eALbCGq5" TargetMode="External"/><Relationship Id="rId40" Type="http://schemas.openxmlformats.org/officeDocument/2006/relationships/hyperlink" Target="https://maps.app.goo.gl/VZLeYSocaZvi34rA7" TargetMode="External"/><Relationship Id="rId45" Type="http://schemas.openxmlformats.org/officeDocument/2006/relationships/hyperlink" Target="https://maps.app.goo.gl/2LDU72bgKZLvmGTj8" TargetMode="External"/><Relationship Id="rId66" Type="http://schemas.openxmlformats.org/officeDocument/2006/relationships/hyperlink" Target="https://maps.app.goo.gl/U59zpX9GZZAB3h3j8" TargetMode="External"/><Relationship Id="rId87" Type="http://schemas.openxmlformats.org/officeDocument/2006/relationships/hyperlink" Target="https://maps.app.goo.gl/efghyper893HRvwb7" TargetMode="External"/><Relationship Id="rId110" Type="http://schemas.openxmlformats.org/officeDocument/2006/relationships/hyperlink" Target="https://maps.app.goo.gl/qCqY4imswcPLrVvK9" TargetMode="External"/><Relationship Id="rId115" Type="http://schemas.openxmlformats.org/officeDocument/2006/relationships/hyperlink" Target="https://maps.app.goo.gl/xUvpWVDZN6Fvc42q6" TargetMode="External"/><Relationship Id="rId131" Type="http://schemas.openxmlformats.org/officeDocument/2006/relationships/hyperlink" Target="https://maps.app.goo.gl/hRLgL4vzpT48YYh9A" TargetMode="External"/><Relationship Id="rId136" Type="http://schemas.openxmlformats.org/officeDocument/2006/relationships/hyperlink" Target="https://maps.app.goo.gl/AGJDKxTCij2YVBHr7" TargetMode="External"/><Relationship Id="rId61" Type="http://schemas.openxmlformats.org/officeDocument/2006/relationships/hyperlink" Target="https://maps.app.goo.gl/vkoLFjAGaCXzL6zy7" TargetMode="External"/><Relationship Id="rId82" Type="http://schemas.openxmlformats.org/officeDocument/2006/relationships/hyperlink" Target="https://maps.app.goo.gl/WH6FUWkJgH31Wt3v5" TargetMode="External"/><Relationship Id="rId152" Type="http://schemas.openxmlformats.org/officeDocument/2006/relationships/hyperlink" Target="https://maps.app.goo.gl/bjZegjkSwRA84cA4A" TargetMode="External"/><Relationship Id="rId19" Type="http://schemas.openxmlformats.org/officeDocument/2006/relationships/hyperlink" Target="https://maps.app.goo.gl/Cncz5ccckRYJwSZy7" TargetMode="External"/><Relationship Id="rId14" Type="http://schemas.openxmlformats.org/officeDocument/2006/relationships/hyperlink" Target="https://maps.app.goo.gl/AFuuhnb64qJoRAt88" TargetMode="External"/><Relationship Id="rId30" Type="http://schemas.openxmlformats.org/officeDocument/2006/relationships/hyperlink" Target="https://maps.app.goo.gl/9uCm4jC7Q2qHkrmq9" TargetMode="External"/><Relationship Id="rId35" Type="http://schemas.openxmlformats.org/officeDocument/2006/relationships/hyperlink" Target="https://maps.app.goo.gl/59cM2ovhQFrRqeYu7" TargetMode="External"/><Relationship Id="rId56" Type="http://schemas.openxmlformats.org/officeDocument/2006/relationships/hyperlink" Target="https://maps.app.goo.gl/H2q4Lp4jFQjuu8Nf6" TargetMode="External"/><Relationship Id="rId77" Type="http://schemas.openxmlformats.org/officeDocument/2006/relationships/hyperlink" Target="https://maps.app.goo.gl/gvheLsQEEs1UjpW18" TargetMode="External"/><Relationship Id="rId100" Type="http://schemas.openxmlformats.org/officeDocument/2006/relationships/hyperlink" Target="https://maps.app.goo.gl/yqC2wGJt7YZoQYPG7" TargetMode="External"/><Relationship Id="rId105" Type="http://schemas.openxmlformats.org/officeDocument/2006/relationships/hyperlink" Target="https://maps.app.goo.gl/m4U7G5LYLi2P63wk6" TargetMode="External"/><Relationship Id="rId126" Type="http://schemas.openxmlformats.org/officeDocument/2006/relationships/hyperlink" Target="https://maps.app.goo.gl/y3j7Bu67HpoTF5yG7" TargetMode="External"/><Relationship Id="rId147" Type="http://schemas.openxmlformats.org/officeDocument/2006/relationships/hyperlink" Target="https://maps.app.goo.gl/bdRASB34szttVtTNA" TargetMode="External"/><Relationship Id="rId8" Type="http://schemas.openxmlformats.org/officeDocument/2006/relationships/hyperlink" Target="https://maps.app.goo.gl/pMxgUUTUUSEtVPFB8" TargetMode="External"/><Relationship Id="rId51" Type="http://schemas.openxmlformats.org/officeDocument/2006/relationships/hyperlink" Target="https://maps.app.goo.gl/F8tK9hkQEG2WWPM39" TargetMode="External"/><Relationship Id="rId72" Type="http://schemas.openxmlformats.org/officeDocument/2006/relationships/hyperlink" Target="https://maps.app.goo.gl/3Z7y8Fhcr4AjuDnd8" TargetMode="External"/><Relationship Id="rId93" Type="http://schemas.openxmlformats.org/officeDocument/2006/relationships/hyperlink" Target="https://maps.app.goo.gl/ichyDJ2jqgMKHX2Z6" TargetMode="External"/><Relationship Id="rId98" Type="http://schemas.openxmlformats.org/officeDocument/2006/relationships/hyperlink" Target="https://maps.app.goo.gl/KkTMDF1kW1nyHHxz5" TargetMode="External"/><Relationship Id="rId121" Type="http://schemas.openxmlformats.org/officeDocument/2006/relationships/hyperlink" Target="https://maps.app.goo.gl/poKEZjsaYRqQ4Jou9" TargetMode="External"/><Relationship Id="rId142" Type="http://schemas.openxmlformats.org/officeDocument/2006/relationships/hyperlink" Target="https://maps.app.goo.gl/76gEjcmfzPM1n1Pz9" TargetMode="External"/><Relationship Id="rId3" Type="http://schemas.openxmlformats.org/officeDocument/2006/relationships/hyperlink" Target="https://maps.app.goo.gl/QNWKnhprAJ5gZAmUA" TargetMode="External"/><Relationship Id="rId25" Type="http://schemas.openxmlformats.org/officeDocument/2006/relationships/hyperlink" Target="https://maps.app.goo.gl/shnWCrSFoBxKWcqE9" TargetMode="External"/><Relationship Id="rId46" Type="http://schemas.openxmlformats.org/officeDocument/2006/relationships/hyperlink" Target="https://maps.app.goo.gl/YneA4FF1jhaUt55B8" TargetMode="External"/><Relationship Id="rId67" Type="http://schemas.openxmlformats.org/officeDocument/2006/relationships/hyperlink" Target="https://maps.app.goo.gl/R1Hie8yW7bZTTdHK8" TargetMode="External"/><Relationship Id="rId116" Type="http://schemas.openxmlformats.org/officeDocument/2006/relationships/hyperlink" Target="https://maps.app.goo.gl/EZ1zfkbPERP4MD9Z9" TargetMode="External"/><Relationship Id="rId137" Type="http://schemas.openxmlformats.org/officeDocument/2006/relationships/hyperlink" Target="https://maps.app.goo.gl/2U63iubCrh786xiK9" TargetMode="External"/><Relationship Id="rId20" Type="http://schemas.openxmlformats.org/officeDocument/2006/relationships/hyperlink" Target="https://maps.app.goo.gl/MDYUxT4snnxenws18" TargetMode="External"/><Relationship Id="rId41" Type="http://schemas.openxmlformats.org/officeDocument/2006/relationships/hyperlink" Target="https://maps.app.goo.gl/LaETxPhBRTNMm8gG7" TargetMode="External"/><Relationship Id="rId62" Type="http://schemas.openxmlformats.org/officeDocument/2006/relationships/hyperlink" Target="https://maps.app.goo.gl/SwrA5ZcB5FidQSLc8" TargetMode="External"/><Relationship Id="rId83" Type="http://schemas.openxmlformats.org/officeDocument/2006/relationships/hyperlink" Target="https://maps.app.goo.gl/HFJ5HuYiQwcynV218" TargetMode="External"/><Relationship Id="rId88" Type="http://schemas.openxmlformats.org/officeDocument/2006/relationships/hyperlink" Target="https://maps.app.goo.gl/Y4WVcF48CYPsvNMP8" TargetMode="External"/><Relationship Id="rId111" Type="http://schemas.openxmlformats.org/officeDocument/2006/relationships/hyperlink" Target="https://maps.app.goo.gl/Nbd7HTETtWZ5fr2q8" TargetMode="External"/><Relationship Id="rId132" Type="http://schemas.openxmlformats.org/officeDocument/2006/relationships/hyperlink" Target="https://maps.app.goo.gl/54K4dsA5JBvnXX6e6" TargetMode="External"/><Relationship Id="rId153" Type="http://schemas.openxmlformats.org/officeDocument/2006/relationships/hyperlink" Target="https://maps.app.goo.gl/DkL3kFFn3PD3UkxG6" TargetMode="External"/><Relationship Id="rId15" Type="http://schemas.openxmlformats.org/officeDocument/2006/relationships/hyperlink" Target="https://maps.app.goo.gl/frsVWbfV96yfbUWF7" TargetMode="External"/><Relationship Id="rId36" Type="http://schemas.openxmlformats.org/officeDocument/2006/relationships/hyperlink" Target="https://maps.app.goo.gl/hMZSxEShQfdTNh7V7" TargetMode="External"/><Relationship Id="rId57" Type="http://schemas.openxmlformats.org/officeDocument/2006/relationships/hyperlink" Target="https://maps.app.goo.gl/nB7mK7qpmDxMKnwL6" TargetMode="External"/><Relationship Id="rId106" Type="http://schemas.openxmlformats.org/officeDocument/2006/relationships/hyperlink" Target="https://maps.app.goo.gl/bBcQbMqHTxLoyGnH6" TargetMode="External"/><Relationship Id="rId127" Type="http://schemas.openxmlformats.org/officeDocument/2006/relationships/hyperlink" Target="https://maps.app.goo.gl/xb2DNxeZDDDfmHRS8" TargetMode="External"/><Relationship Id="rId10" Type="http://schemas.openxmlformats.org/officeDocument/2006/relationships/hyperlink" Target="https://maps.app.goo.gl/CC1a4SD9SUgxzgDW7" TargetMode="External"/><Relationship Id="rId31" Type="http://schemas.openxmlformats.org/officeDocument/2006/relationships/hyperlink" Target="https://maps.app.goo.gl/S5SvDJVRwUD4jY1JA" TargetMode="External"/><Relationship Id="rId52" Type="http://schemas.openxmlformats.org/officeDocument/2006/relationships/hyperlink" Target="https://maps.app.goo.gl/iUG2bzgzJi79AJVJ6" TargetMode="External"/><Relationship Id="rId73" Type="http://schemas.openxmlformats.org/officeDocument/2006/relationships/hyperlink" Target="https://maps.app.goo.gl/97BiekZKyXQzMJJi7" TargetMode="External"/><Relationship Id="rId78" Type="http://schemas.openxmlformats.org/officeDocument/2006/relationships/hyperlink" Target="https://maps.app.goo.gl/7pUYT7tWqhG7QUs86" TargetMode="External"/><Relationship Id="rId94" Type="http://schemas.openxmlformats.org/officeDocument/2006/relationships/hyperlink" Target="https://maps.app.goo.gl/gq8Jk46RXMJR37Kt5" TargetMode="External"/><Relationship Id="rId99" Type="http://schemas.openxmlformats.org/officeDocument/2006/relationships/hyperlink" Target="https://maps.app.goo.gl/Q8MgC11NoCLoAHqA9" TargetMode="External"/><Relationship Id="rId101" Type="http://schemas.openxmlformats.org/officeDocument/2006/relationships/hyperlink" Target="https://maps.app.goo.gl/qH3XPDtRq4H8szHk8" TargetMode="External"/><Relationship Id="rId122" Type="http://schemas.openxmlformats.org/officeDocument/2006/relationships/hyperlink" Target="https://maps.app.goo.gl/8dcHQ3USzeQQqv6C8" TargetMode="External"/><Relationship Id="rId143" Type="http://schemas.openxmlformats.org/officeDocument/2006/relationships/hyperlink" Target="https://maps.app.goo.gl/i6zCfe4riLm4ZFmN8" TargetMode="External"/><Relationship Id="rId148" Type="http://schemas.openxmlformats.org/officeDocument/2006/relationships/hyperlink" Target="https://maps.app.goo.gl/U6GjyB97wYVMLNT38" TargetMode="External"/><Relationship Id="rId4" Type="http://schemas.openxmlformats.org/officeDocument/2006/relationships/hyperlink" Target="https://maps.app.goo.gl/34fGKMS5i3FvqevD6" TargetMode="External"/><Relationship Id="rId9" Type="http://schemas.openxmlformats.org/officeDocument/2006/relationships/hyperlink" Target="https://maps.app.goo.gl/TR15mrcLyrQAqcLN6" TargetMode="External"/><Relationship Id="rId26" Type="http://schemas.openxmlformats.org/officeDocument/2006/relationships/hyperlink" Target="https://maps.app.goo.gl/PUjWLajarpvgnGqP9" TargetMode="External"/><Relationship Id="rId47" Type="http://schemas.openxmlformats.org/officeDocument/2006/relationships/hyperlink" Target="https://maps.app.goo.gl/vQJ7eVKJ24R2eKJV6" TargetMode="External"/><Relationship Id="rId68" Type="http://schemas.openxmlformats.org/officeDocument/2006/relationships/hyperlink" Target="https://maps.app.goo.gl/pKHeNasBhVmKR33PA" TargetMode="External"/><Relationship Id="rId89" Type="http://schemas.openxmlformats.org/officeDocument/2006/relationships/hyperlink" Target="https://maps.app.goo.gl/hryoHK2H3qz26dN98" TargetMode="External"/><Relationship Id="rId112" Type="http://schemas.openxmlformats.org/officeDocument/2006/relationships/hyperlink" Target="https://maps.app.goo.gl/29JV5JB6rjyWHyxQA" TargetMode="External"/><Relationship Id="rId133" Type="http://schemas.openxmlformats.org/officeDocument/2006/relationships/hyperlink" Target="https://maps.app.goo.gl/RpbNPNnLj1sZSpBUA" TargetMode="External"/><Relationship Id="rId16" Type="http://schemas.openxmlformats.org/officeDocument/2006/relationships/hyperlink" Target="https://maps.app.goo.gl/UZUchN6fm1TKEuWY6" TargetMode="External"/><Relationship Id="rId37" Type="http://schemas.openxmlformats.org/officeDocument/2006/relationships/hyperlink" Target="https://maps.app.goo.gl/sLfAn588HbQWJpV57" TargetMode="External"/><Relationship Id="rId58" Type="http://schemas.openxmlformats.org/officeDocument/2006/relationships/hyperlink" Target="https://maps.app.goo.gl/EACbVy89XByJGQdRA" TargetMode="External"/><Relationship Id="rId79" Type="http://schemas.openxmlformats.org/officeDocument/2006/relationships/hyperlink" Target="https://maps.app.goo.gl/pufYMAVjBvWetAGu8" TargetMode="External"/><Relationship Id="rId102" Type="http://schemas.openxmlformats.org/officeDocument/2006/relationships/hyperlink" Target="https://maps.app.goo.gl/r4f5MGbzJ4MMfCBaA" TargetMode="External"/><Relationship Id="rId123" Type="http://schemas.openxmlformats.org/officeDocument/2006/relationships/hyperlink" Target="https://maps.app.goo.gl/3X2AT9GaaPfLUsZw7" TargetMode="External"/><Relationship Id="rId144" Type="http://schemas.openxmlformats.org/officeDocument/2006/relationships/hyperlink" Target="https://maps.app.goo.gl/DX8wk2FGCwqqVwWJ6" TargetMode="External"/><Relationship Id="rId90" Type="http://schemas.openxmlformats.org/officeDocument/2006/relationships/hyperlink" Target="https://maps.app.goo.gl/6t8Q4o9LR9EZcAv56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zYkMJDsUC4iqpAjv7" TargetMode="External"/><Relationship Id="rId21" Type="http://schemas.openxmlformats.org/officeDocument/2006/relationships/hyperlink" Target="https://maps.app.goo.gl/VwAu5bggYmEte2p17" TargetMode="External"/><Relationship Id="rId42" Type="http://schemas.openxmlformats.org/officeDocument/2006/relationships/hyperlink" Target="https://maps.app.goo.gl/pqDpSkanN4e7VC788" TargetMode="External"/><Relationship Id="rId47" Type="http://schemas.openxmlformats.org/officeDocument/2006/relationships/hyperlink" Target="https://maps.app.goo.gl/zXnWuSi8BLvvwbbLA" TargetMode="External"/><Relationship Id="rId63" Type="http://schemas.openxmlformats.org/officeDocument/2006/relationships/hyperlink" Target="https://maps.app.goo.gl/EYP6XF4H1wmHNwtq7" TargetMode="External"/><Relationship Id="rId68" Type="http://schemas.openxmlformats.org/officeDocument/2006/relationships/hyperlink" Target="https://maps.app.goo.gl/YUBhW55pHToaxg826" TargetMode="External"/><Relationship Id="rId7" Type="http://schemas.openxmlformats.org/officeDocument/2006/relationships/hyperlink" Target="https://maps.app.goo.gl/bHUXrRLsucc9XXCn7" TargetMode="External"/><Relationship Id="rId71" Type="http://schemas.openxmlformats.org/officeDocument/2006/relationships/hyperlink" Target="https://maps.app.goo.gl/HLtkVGGYiST4nj5V8" TargetMode="External"/><Relationship Id="rId2" Type="http://schemas.openxmlformats.org/officeDocument/2006/relationships/hyperlink" Target="https://maps.app.goo.gl/Gjkkb4igdtAQd3JH9" TargetMode="External"/><Relationship Id="rId16" Type="http://schemas.openxmlformats.org/officeDocument/2006/relationships/hyperlink" Target="https://maps.app.goo.gl/197YRXHqCadzhMuHA" TargetMode="External"/><Relationship Id="rId29" Type="http://schemas.openxmlformats.org/officeDocument/2006/relationships/hyperlink" Target="https://maps.app.goo.gl/xzTF4X6YrxPkoC5t8" TargetMode="External"/><Relationship Id="rId11" Type="http://schemas.openxmlformats.org/officeDocument/2006/relationships/hyperlink" Target="https://maps.app.goo.gl/RXjdq8D4BvSQjY1r6" TargetMode="External"/><Relationship Id="rId24" Type="http://schemas.openxmlformats.org/officeDocument/2006/relationships/hyperlink" Target="https://maps.app.goo.gl/BsqUNhm3QBcC9PLn7" TargetMode="External"/><Relationship Id="rId32" Type="http://schemas.openxmlformats.org/officeDocument/2006/relationships/hyperlink" Target="https://maps.app.goo.gl/PvBcjviEDLuxCP3KA" TargetMode="External"/><Relationship Id="rId37" Type="http://schemas.openxmlformats.org/officeDocument/2006/relationships/hyperlink" Target="https://maps.app.goo.gl/7h6bMfWzw2pGAjCCA" TargetMode="External"/><Relationship Id="rId40" Type="http://schemas.openxmlformats.org/officeDocument/2006/relationships/hyperlink" Target="https://maps.app.goo.gl/GsQSibh1jXJxbPCw6" TargetMode="External"/><Relationship Id="rId45" Type="http://schemas.openxmlformats.org/officeDocument/2006/relationships/hyperlink" Target="https://maps.app.goo.gl/zXnWuSi8BLvvwbbLA" TargetMode="External"/><Relationship Id="rId53" Type="http://schemas.openxmlformats.org/officeDocument/2006/relationships/hyperlink" Target="https://maps.app.goo.gl/LCzDJbrRhBBZHzrr7" TargetMode="External"/><Relationship Id="rId58" Type="http://schemas.openxmlformats.org/officeDocument/2006/relationships/hyperlink" Target="https://maps.app.goo.gl/bU1PPanwjSNDoqwq9" TargetMode="External"/><Relationship Id="rId66" Type="http://schemas.openxmlformats.org/officeDocument/2006/relationships/hyperlink" Target="https://maps.app.goo.gl/VzCMTa1xKq4N8WMn9" TargetMode="External"/><Relationship Id="rId5" Type="http://schemas.openxmlformats.org/officeDocument/2006/relationships/hyperlink" Target="https://maps.app.goo.gl/RUoX6ZfrfkwUrXUR8" TargetMode="External"/><Relationship Id="rId61" Type="http://schemas.openxmlformats.org/officeDocument/2006/relationships/hyperlink" Target="https://maps.app.goo.gl/sbneKqdwRbKKwSc99" TargetMode="External"/><Relationship Id="rId19" Type="http://schemas.openxmlformats.org/officeDocument/2006/relationships/hyperlink" Target="https://maps.app.goo.gl/9QQz9yYaqorifrxK6" TargetMode="External"/><Relationship Id="rId14" Type="http://schemas.openxmlformats.org/officeDocument/2006/relationships/hyperlink" Target="https://maps.app.goo.gl/K447TNTzTokUA7rc8" TargetMode="External"/><Relationship Id="rId22" Type="http://schemas.openxmlformats.org/officeDocument/2006/relationships/hyperlink" Target="https://maps.app.goo.gl/Mbyhtkk8skYYiN1q8" TargetMode="External"/><Relationship Id="rId27" Type="http://schemas.openxmlformats.org/officeDocument/2006/relationships/hyperlink" Target="https://maps.app.goo.gl/RKNF15HCVty8jory8" TargetMode="External"/><Relationship Id="rId30" Type="http://schemas.openxmlformats.org/officeDocument/2006/relationships/hyperlink" Target="https://maps.app.goo.gl/QYAcqpRcYNUMChMr6" TargetMode="External"/><Relationship Id="rId35" Type="http://schemas.openxmlformats.org/officeDocument/2006/relationships/hyperlink" Target="https://maps.app.goo.gl/xVgiX6PVeQwJFFMn9" TargetMode="External"/><Relationship Id="rId43" Type="http://schemas.openxmlformats.org/officeDocument/2006/relationships/hyperlink" Target="https://maps.app.goo.gl/S8HFw67fa7vecWFX8" TargetMode="External"/><Relationship Id="rId48" Type="http://schemas.openxmlformats.org/officeDocument/2006/relationships/hyperlink" Target="https://maps.app.goo.gl/dqv2WU6xSFGS4EJS7" TargetMode="External"/><Relationship Id="rId56" Type="http://schemas.openxmlformats.org/officeDocument/2006/relationships/hyperlink" Target="https://maps.app.goo.gl/DrdRS2hry5sbyrsy8" TargetMode="External"/><Relationship Id="rId64" Type="http://schemas.openxmlformats.org/officeDocument/2006/relationships/hyperlink" Target="https://maps.app.goo.gl/5dh9pFhJSZCrfcsU7" TargetMode="External"/><Relationship Id="rId69" Type="http://schemas.openxmlformats.org/officeDocument/2006/relationships/hyperlink" Target="https://maps.app.goo.gl/XZzySez27gdwPd6o9" TargetMode="External"/><Relationship Id="rId8" Type="http://schemas.openxmlformats.org/officeDocument/2006/relationships/hyperlink" Target="https://maps.app.goo.gl/HezBKeBy68i2pE6T6" TargetMode="External"/><Relationship Id="rId51" Type="http://schemas.openxmlformats.org/officeDocument/2006/relationships/hyperlink" Target="https://maps.app.goo.gl/MTqv4uMzowXmNwEx7" TargetMode="External"/><Relationship Id="rId72" Type="http://schemas.openxmlformats.org/officeDocument/2006/relationships/hyperlink" Target="https://maps.app.goo.gl/Lhr7GNA1W6tSA2iS6" TargetMode="External"/><Relationship Id="rId3" Type="http://schemas.openxmlformats.org/officeDocument/2006/relationships/hyperlink" Target="https://maps.app.goo.gl/Lxyosg9qh5Uzt96W8" TargetMode="External"/><Relationship Id="rId12" Type="http://schemas.openxmlformats.org/officeDocument/2006/relationships/hyperlink" Target="https://maps.app.goo.gl/Ys6fuFMtijcevnAC7" TargetMode="External"/><Relationship Id="rId17" Type="http://schemas.openxmlformats.org/officeDocument/2006/relationships/hyperlink" Target="https://maps.app.goo.gl/i62fbrymDr2ywgAs9" TargetMode="External"/><Relationship Id="rId25" Type="http://schemas.openxmlformats.org/officeDocument/2006/relationships/hyperlink" Target="https://maps.app.goo.gl/2LTdFkXrpxMxFPERA" TargetMode="External"/><Relationship Id="rId33" Type="http://schemas.openxmlformats.org/officeDocument/2006/relationships/hyperlink" Target="https://maps.app.goo.gl/p5siA6LFyDgwpjqv6" TargetMode="External"/><Relationship Id="rId38" Type="http://schemas.openxmlformats.org/officeDocument/2006/relationships/hyperlink" Target="https://maps.app.goo.gl/wNCCaFrba6RjNLHf9" TargetMode="External"/><Relationship Id="rId46" Type="http://schemas.openxmlformats.org/officeDocument/2006/relationships/hyperlink" Target="https://maps.app.goo.gl/F3t4iiRuPTXcUGnUA" TargetMode="External"/><Relationship Id="rId59" Type="http://schemas.openxmlformats.org/officeDocument/2006/relationships/hyperlink" Target="https://maps.app.goo.gl/kR7jtLxuL4oiDaxE8" TargetMode="External"/><Relationship Id="rId67" Type="http://schemas.openxmlformats.org/officeDocument/2006/relationships/hyperlink" Target="https://maps.app.goo.gl/vuqJy2yhxozMn8hr8" TargetMode="External"/><Relationship Id="rId20" Type="http://schemas.openxmlformats.org/officeDocument/2006/relationships/hyperlink" Target="https://maps.app.goo.gl/YE4roBCuiiF8dqG68" TargetMode="External"/><Relationship Id="rId41" Type="http://schemas.openxmlformats.org/officeDocument/2006/relationships/hyperlink" Target="https://maps.app.goo.gl/CqEbtZhV8y1mQKqy7" TargetMode="External"/><Relationship Id="rId54" Type="http://schemas.openxmlformats.org/officeDocument/2006/relationships/hyperlink" Target="https://maps.app.goo.gl/TDUWwdEWZBwHyLCQ9" TargetMode="External"/><Relationship Id="rId62" Type="http://schemas.openxmlformats.org/officeDocument/2006/relationships/hyperlink" Target="https://maps.app.goo.gl/McwUurVvyMkMqJgL9" TargetMode="External"/><Relationship Id="rId70" Type="http://schemas.openxmlformats.org/officeDocument/2006/relationships/hyperlink" Target="https://maps.app.goo.gl/sShNStGhCEYayiKs6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maps.app.goo.gl/mRqMhvYnQCuBanHu8" TargetMode="External"/><Relationship Id="rId15" Type="http://schemas.openxmlformats.org/officeDocument/2006/relationships/hyperlink" Target="https://maps.app.goo.gl/e5mc5NEyzjbqz31RA" TargetMode="External"/><Relationship Id="rId23" Type="http://schemas.openxmlformats.org/officeDocument/2006/relationships/hyperlink" Target="https://maps.app.goo.gl/dGP4GdMrgUUd24TP7" TargetMode="External"/><Relationship Id="rId28" Type="http://schemas.openxmlformats.org/officeDocument/2006/relationships/hyperlink" Target="https://maps.app.goo.gl/DdihNnVqnqBeahwW6" TargetMode="External"/><Relationship Id="rId36" Type="http://schemas.openxmlformats.org/officeDocument/2006/relationships/hyperlink" Target="https://maps.app.goo.gl/1ESn5BX3ArcJ1BSSA" TargetMode="External"/><Relationship Id="rId49" Type="http://schemas.openxmlformats.org/officeDocument/2006/relationships/hyperlink" Target="https://maps.app.goo.gl/1oW5EyqTVRY9oRnV7" TargetMode="External"/><Relationship Id="rId57" Type="http://schemas.openxmlformats.org/officeDocument/2006/relationships/hyperlink" Target="https://maps.app.goo.gl/QoJgDcTdngCAH9A16" TargetMode="External"/><Relationship Id="rId10" Type="http://schemas.openxmlformats.org/officeDocument/2006/relationships/hyperlink" Target="https://maps.app.goo.gl/jVkBQSgrtuf3gqJRA" TargetMode="External"/><Relationship Id="rId31" Type="http://schemas.openxmlformats.org/officeDocument/2006/relationships/hyperlink" Target="https://maps.app.goo.gl/2JzxWoUAnkF171yz6" TargetMode="External"/><Relationship Id="rId44" Type="http://schemas.openxmlformats.org/officeDocument/2006/relationships/hyperlink" Target="https://maps.app.goo.gl/QR4cqRFLmMY3ok516" TargetMode="External"/><Relationship Id="rId52" Type="http://schemas.openxmlformats.org/officeDocument/2006/relationships/hyperlink" Target="https://maps.app.goo.gl/ZKFjGfXVXmGTY92m6" TargetMode="External"/><Relationship Id="rId60" Type="http://schemas.openxmlformats.org/officeDocument/2006/relationships/hyperlink" Target="https://maps.app.goo.gl/j2nTiNoD48Te77oXA" TargetMode="External"/><Relationship Id="rId65" Type="http://schemas.openxmlformats.org/officeDocument/2006/relationships/hyperlink" Target="https://maps.app.goo.gl/XVmfK8y66mdWsi8r7" TargetMode="External"/><Relationship Id="rId4" Type="http://schemas.openxmlformats.org/officeDocument/2006/relationships/hyperlink" Target="https://maps.app.goo.gl/Be8qfRo1rLCJyD2X8" TargetMode="External"/><Relationship Id="rId9" Type="http://schemas.openxmlformats.org/officeDocument/2006/relationships/hyperlink" Target="https://maps.app.goo.gl/FsvtpMXYpY3Jrcmt9" TargetMode="External"/><Relationship Id="rId13" Type="http://schemas.openxmlformats.org/officeDocument/2006/relationships/hyperlink" Target="https://maps.app.goo.gl/wa3uAPfebF1hxhZS8" TargetMode="External"/><Relationship Id="rId18" Type="http://schemas.openxmlformats.org/officeDocument/2006/relationships/hyperlink" Target="https://maps.app.goo.gl/KCtAogUL9paaXwb1A" TargetMode="External"/><Relationship Id="rId39" Type="http://schemas.openxmlformats.org/officeDocument/2006/relationships/hyperlink" Target="https://maps.app.goo.gl/grrXXfaY1uyCbcsy5" TargetMode="External"/><Relationship Id="rId34" Type="http://schemas.openxmlformats.org/officeDocument/2006/relationships/hyperlink" Target="http://iamgroot.in/" TargetMode="External"/><Relationship Id="rId50" Type="http://schemas.openxmlformats.org/officeDocument/2006/relationships/hyperlink" Target="https://maps.app.goo.gl/cNrSqbLCixh9v1ow8" TargetMode="External"/><Relationship Id="rId55" Type="http://schemas.openxmlformats.org/officeDocument/2006/relationships/hyperlink" Target="https://maps.app.goo.gl/ypcLrYhsppvcW9VH6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Jo1DDFc4FsY4mn82A" TargetMode="External"/><Relationship Id="rId2" Type="http://schemas.openxmlformats.org/officeDocument/2006/relationships/hyperlink" Target="https://maps.app.goo.gl/kibj2N54D31TJUHk6" TargetMode="External"/><Relationship Id="rId1" Type="http://schemas.openxmlformats.org/officeDocument/2006/relationships/hyperlink" Target="http://s.no/" TargetMode="External"/><Relationship Id="rId4" Type="http://schemas.openxmlformats.org/officeDocument/2006/relationships/hyperlink" Target="https://maps.app.goo.gl/HLTBEoMhCUiXNdsA9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workbookViewId="0"/>
  </sheetViews>
  <sheetFormatPr defaultColWidth="12.6640625" defaultRowHeight="15.75" customHeight="1"/>
  <cols>
    <col min="4" max="4" width="38.77734375" customWidth="1"/>
    <col min="5" max="5" width="21.6640625" customWidth="1"/>
    <col min="7" max="7" width="20.33203125" customWidth="1"/>
    <col min="9" max="9" width="15.44140625" customWidth="1"/>
    <col min="10" max="10" width="44.44140625" customWidth="1"/>
    <col min="11" max="11" width="23.88671875" customWidth="1"/>
  </cols>
  <sheetData>
    <row r="1" spans="1:27" ht="13.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2"/>
    </row>
    <row r="2" spans="1:27" ht="13.8">
      <c r="A2" s="6">
        <v>1</v>
      </c>
      <c r="B2" s="7" t="s">
        <v>13</v>
      </c>
      <c r="C2" s="7" t="s">
        <v>14</v>
      </c>
      <c r="D2" s="8" t="s">
        <v>15</v>
      </c>
      <c r="E2" s="7" t="s">
        <v>16</v>
      </c>
      <c r="F2" s="7" t="s">
        <v>16</v>
      </c>
      <c r="G2" s="7" t="s">
        <v>16</v>
      </c>
      <c r="H2" s="7" t="s">
        <v>16</v>
      </c>
      <c r="I2" s="6">
        <v>7499858640</v>
      </c>
      <c r="J2" s="9" t="s">
        <v>17</v>
      </c>
      <c r="K2" s="7" t="s">
        <v>18</v>
      </c>
      <c r="L2" s="10">
        <v>4.5</v>
      </c>
      <c r="M2" s="10">
        <v>399</v>
      </c>
      <c r="N2" s="8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3.8">
      <c r="A3" s="6">
        <v>2</v>
      </c>
      <c r="B3" s="7" t="s">
        <v>13</v>
      </c>
      <c r="C3" s="7" t="s">
        <v>14</v>
      </c>
      <c r="D3" s="8" t="s">
        <v>19</v>
      </c>
      <c r="E3" s="7" t="s">
        <v>16</v>
      </c>
      <c r="F3" s="7" t="s">
        <v>16</v>
      </c>
      <c r="G3" s="7" t="s">
        <v>16</v>
      </c>
      <c r="H3" s="7" t="s">
        <v>16</v>
      </c>
      <c r="I3" s="6">
        <v>8881200100</v>
      </c>
      <c r="J3" s="9" t="s">
        <v>20</v>
      </c>
      <c r="K3" s="7" t="s">
        <v>18</v>
      </c>
      <c r="L3" s="10">
        <v>4.8</v>
      </c>
      <c r="M3" s="10">
        <v>55</v>
      </c>
      <c r="N3" s="8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3.8">
      <c r="A4" s="6">
        <v>3</v>
      </c>
      <c r="B4" s="7" t="s">
        <v>13</v>
      </c>
      <c r="C4" s="7" t="s">
        <v>14</v>
      </c>
      <c r="D4" s="8" t="s">
        <v>21</v>
      </c>
      <c r="E4" s="7" t="s">
        <v>16</v>
      </c>
      <c r="F4" s="7" t="s">
        <v>16</v>
      </c>
      <c r="G4" s="7" t="s">
        <v>16</v>
      </c>
      <c r="H4" s="7" t="s">
        <v>16</v>
      </c>
      <c r="I4" s="6">
        <v>9919990738</v>
      </c>
      <c r="J4" s="9" t="s">
        <v>22</v>
      </c>
      <c r="K4" s="7" t="s">
        <v>18</v>
      </c>
      <c r="L4" s="10">
        <v>4.8</v>
      </c>
      <c r="M4" s="10">
        <v>329</v>
      </c>
      <c r="N4" s="8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3.8">
      <c r="A5" s="6">
        <v>4</v>
      </c>
      <c r="B5" s="7" t="s">
        <v>13</v>
      </c>
      <c r="C5" s="7" t="s">
        <v>14</v>
      </c>
      <c r="D5" s="7" t="s">
        <v>23</v>
      </c>
      <c r="E5" s="7" t="s">
        <v>16</v>
      </c>
      <c r="F5" s="7" t="s">
        <v>16</v>
      </c>
      <c r="G5" s="7" t="s">
        <v>16</v>
      </c>
      <c r="H5" s="7" t="s">
        <v>16</v>
      </c>
      <c r="I5" s="6">
        <v>9919736852</v>
      </c>
      <c r="J5" s="9" t="s">
        <v>24</v>
      </c>
      <c r="K5" s="7" t="s">
        <v>18</v>
      </c>
      <c r="L5" s="10">
        <v>4.5999999999999996</v>
      </c>
      <c r="M5" s="10">
        <v>221</v>
      </c>
      <c r="N5" s="7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3.8">
      <c r="A6" s="6">
        <v>5</v>
      </c>
      <c r="B6" s="7" t="s">
        <v>25</v>
      </c>
      <c r="C6" s="7" t="s">
        <v>26</v>
      </c>
      <c r="D6" s="8" t="s">
        <v>27</v>
      </c>
      <c r="E6" s="7" t="s">
        <v>16</v>
      </c>
      <c r="F6" s="7" t="s">
        <v>16</v>
      </c>
      <c r="G6" s="7" t="s">
        <v>16</v>
      </c>
      <c r="H6" s="7" t="s">
        <v>16</v>
      </c>
      <c r="I6" s="6">
        <f>12125822075</f>
        <v>12125822075</v>
      </c>
      <c r="J6" s="9" t="s">
        <v>28</v>
      </c>
      <c r="K6" s="7" t="s">
        <v>29</v>
      </c>
      <c r="L6" s="10">
        <v>4.3</v>
      </c>
      <c r="M6" s="10">
        <v>55</v>
      </c>
      <c r="N6" s="8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3.8">
      <c r="A7" s="6">
        <v>6</v>
      </c>
      <c r="B7" s="7" t="s">
        <v>25</v>
      </c>
      <c r="C7" s="7" t="s">
        <v>26</v>
      </c>
      <c r="D7" s="8" t="s">
        <v>30</v>
      </c>
      <c r="E7" s="7" t="s">
        <v>16</v>
      </c>
      <c r="F7" s="7" t="s">
        <v>16</v>
      </c>
      <c r="G7" s="7" t="s">
        <v>16</v>
      </c>
      <c r="H7" s="7" t="s">
        <v>16</v>
      </c>
      <c r="I7" s="6">
        <f>16464764047</f>
        <v>16464764047</v>
      </c>
      <c r="J7" s="9" t="s">
        <v>31</v>
      </c>
      <c r="K7" s="7" t="s">
        <v>29</v>
      </c>
      <c r="L7" s="10">
        <v>4.2</v>
      </c>
      <c r="M7" s="10">
        <v>57</v>
      </c>
      <c r="N7" s="8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3.8">
      <c r="A8" s="6">
        <v>7</v>
      </c>
      <c r="B8" s="7" t="s">
        <v>25</v>
      </c>
      <c r="C8" s="7" t="s">
        <v>26</v>
      </c>
      <c r="D8" s="8" t="s">
        <v>32</v>
      </c>
      <c r="E8" s="7" t="s">
        <v>16</v>
      </c>
      <c r="F8" s="7" t="s">
        <v>16</v>
      </c>
      <c r="G8" s="7" t="s">
        <v>16</v>
      </c>
      <c r="H8" s="7" t="s">
        <v>16</v>
      </c>
      <c r="I8" s="6">
        <f>16466923022</f>
        <v>16466923022</v>
      </c>
      <c r="J8" s="9" t="s">
        <v>33</v>
      </c>
      <c r="K8" s="7" t="s">
        <v>29</v>
      </c>
      <c r="L8" s="10">
        <v>5</v>
      </c>
      <c r="M8" s="10">
        <v>3</v>
      </c>
      <c r="N8" s="8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3.8">
      <c r="A9" s="6">
        <v>8</v>
      </c>
      <c r="B9" s="7" t="s">
        <v>25</v>
      </c>
      <c r="C9" s="7" t="s">
        <v>26</v>
      </c>
      <c r="D9" s="8" t="s">
        <v>34</v>
      </c>
      <c r="E9" s="7" t="s">
        <v>16</v>
      </c>
      <c r="F9" s="7" t="s">
        <v>16</v>
      </c>
      <c r="G9" s="7" t="s">
        <v>16</v>
      </c>
      <c r="H9" s="7" t="s">
        <v>16</v>
      </c>
      <c r="I9" s="6">
        <f>15186753636</f>
        <v>15186753636</v>
      </c>
      <c r="J9" s="9" t="s">
        <v>35</v>
      </c>
      <c r="K9" s="7" t="s">
        <v>29</v>
      </c>
      <c r="L9" s="10">
        <v>4.5</v>
      </c>
      <c r="M9" s="10">
        <v>12</v>
      </c>
      <c r="N9" s="8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3.8">
      <c r="A10" s="6">
        <v>9</v>
      </c>
      <c r="B10" s="7" t="s">
        <v>25</v>
      </c>
      <c r="C10" s="7" t="s">
        <v>26</v>
      </c>
      <c r="D10" s="8" t="s">
        <v>36</v>
      </c>
      <c r="E10" s="7" t="s">
        <v>16</v>
      </c>
      <c r="F10" s="7" t="s">
        <v>16</v>
      </c>
      <c r="G10" s="7" t="s">
        <v>16</v>
      </c>
      <c r="H10" s="7" t="s">
        <v>16</v>
      </c>
      <c r="I10" s="6">
        <f>12125417747</f>
        <v>12125417747</v>
      </c>
      <c r="J10" s="9" t="s">
        <v>37</v>
      </c>
      <c r="K10" s="7" t="s">
        <v>29</v>
      </c>
      <c r="L10" s="10">
        <v>4.5</v>
      </c>
      <c r="M10" s="10">
        <v>15</v>
      </c>
      <c r="N10" s="8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3.8">
      <c r="A11" s="6">
        <v>10</v>
      </c>
      <c r="B11" s="7" t="s">
        <v>25</v>
      </c>
      <c r="C11" s="7" t="s">
        <v>26</v>
      </c>
      <c r="D11" s="8" t="s">
        <v>38</v>
      </c>
      <c r="E11" s="7" t="s">
        <v>16</v>
      </c>
      <c r="F11" s="7" t="s">
        <v>16</v>
      </c>
      <c r="G11" s="7" t="s">
        <v>16</v>
      </c>
      <c r="H11" s="7" t="s">
        <v>16</v>
      </c>
      <c r="I11" s="6">
        <f>19293127422</f>
        <v>19293127422</v>
      </c>
      <c r="J11" s="11" t="s">
        <v>39</v>
      </c>
      <c r="K11" s="7" t="s">
        <v>29</v>
      </c>
      <c r="L11" s="10">
        <v>3.5</v>
      </c>
      <c r="M11" s="10">
        <v>8</v>
      </c>
      <c r="N11" s="8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3.8">
      <c r="A12" s="6">
        <v>11</v>
      </c>
      <c r="B12" s="7" t="s">
        <v>25</v>
      </c>
      <c r="C12" s="7" t="s">
        <v>26</v>
      </c>
      <c r="D12" s="8" t="s">
        <v>40</v>
      </c>
      <c r="E12" s="7" t="s">
        <v>16</v>
      </c>
      <c r="F12" s="7" t="s">
        <v>16</v>
      </c>
      <c r="G12" s="7" t="s">
        <v>16</v>
      </c>
      <c r="H12" s="7" t="s">
        <v>16</v>
      </c>
      <c r="I12" s="6">
        <f>12126088866</f>
        <v>12126088866</v>
      </c>
      <c r="J12" s="9" t="s">
        <v>41</v>
      </c>
      <c r="K12" s="7" t="s">
        <v>29</v>
      </c>
      <c r="L12" s="10">
        <v>4.5999999999999996</v>
      </c>
      <c r="M12" s="10">
        <v>17</v>
      </c>
      <c r="N12" s="8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3.8">
      <c r="A13" s="6">
        <v>12</v>
      </c>
      <c r="B13" s="7" t="s">
        <v>25</v>
      </c>
      <c r="C13" s="7" t="s">
        <v>26</v>
      </c>
      <c r="D13" s="8" t="s">
        <v>42</v>
      </c>
      <c r="E13" s="7" t="s">
        <v>16</v>
      </c>
      <c r="F13" s="7" t="s">
        <v>16</v>
      </c>
      <c r="G13" s="7" t="s">
        <v>16</v>
      </c>
      <c r="H13" s="7" t="s">
        <v>16</v>
      </c>
      <c r="I13" s="6">
        <f>12124757962</f>
        <v>12124757962</v>
      </c>
      <c r="J13" s="9" t="s">
        <v>43</v>
      </c>
      <c r="K13" s="7" t="s">
        <v>29</v>
      </c>
      <c r="L13" s="10">
        <v>4</v>
      </c>
      <c r="M13" s="10">
        <v>14</v>
      </c>
      <c r="N13" s="8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3.8">
      <c r="A14" s="6">
        <v>13</v>
      </c>
      <c r="B14" s="7" t="s">
        <v>25</v>
      </c>
      <c r="C14" s="7" t="s">
        <v>26</v>
      </c>
      <c r="D14" s="8" t="s">
        <v>44</v>
      </c>
      <c r="E14" s="7" t="s">
        <v>16</v>
      </c>
      <c r="F14" s="7" t="s">
        <v>16</v>
      </c>
      <c r="G14" s="7" t="s">
        <v>16</v>
      </c>
      <c r="H14" s="7" t="s">
        <v>16</v>
      </c>
      <c r="I14" s="6">
        <f>12124470131</f>
        <v>12124470131</v>
      </c>
      <c r="J14" s="9" t="s">
        <v>45</v>
      </c>
      <c r="K14" s="7" t="s">
        <v>29</v>
      </c>
      <c r="L14" s="10">
        <v>5</v>
      </c>
      <c r="M14" s="10">
        <v>6</v>
      </c>
      <c r="N14" s="8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3.8">
      <c r="A15" s="6">
        <v>14</v>
      </c>
      <c r="B15" s="7" t="s">
        <v>25</v>
      </c>
      <c r="C15" s="7" t="s">
        <v>26</v>
      </c>
      <c r="D15" s="8" t="s">
        <v>46</v>
      </c>
      <c r="E15" s="7" t="s">
        <v>16</v>
      </c>
      <c r="F15" s="7" t="s">
        <v>16</v>
      </c>
      <c r="G15" s="7" t="s">
        <v>16</v>
      </c>
      <c r="H15" s="7" t="s">
        <v>16</v>
      </c>
      <c r="I15" s="6">
        <f>16469830367</f>
        <v>16469830367</v>
      </c>
      <c r="J15" s="9" t="s">
        <v>47</v>
      </c>
      <c r="K15" s="7" t="s">
        <v>29</v>
      </c>
      <c r="L15" s="10">
        <v>4.0999999999999996</v>
      </c>
      <c r="M15" s="10">
        <v>25</v>
      </c>
      <c r="N15" s="8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3.8">
      <c r="A16" s="6">
        <v>15</v>
      </c>
      <c r="B16" s="7" t="s">
        <v>25</v>
      </c>
      <c r="C16" s="7" t="s">
        <v>26</v>
      </c>
      <c r="D16" s="8" t="s">
        <v>48</v>
      </c>
      <c r="E16" s="7" t="s">
        <v>16</v>
      </c>
      <c r="F16" s="7" t="s">
        <v>16</v>
      </c>
      <c r="G16" s="7" t="s">
        <v>16</v>
      </c>
      <c r="H16" s="7" t="s">
        <v>16</v>
      </c>
      <c r="I16" s="6">
        <f>12129415973</f>
        <v>12129415973</v>
      </c>
      <c r="J16" s="9" t="s">
        <v>49</v>
      </c>
      <c r="K16" s="7" t="s">
        <v>29</v>
      </c>
      <c r="L16" s="10">
        <v>4.2</v>
      </c>
      <c r="M16" s="10">
        <v>63</v>
      </c>
      <c r="N16" s="8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3.8">
      <c r="A17" s="6">
        <v>16</v>
      </c>
      <c r="B17" s="7" t="s">
        <v>25</v>
      </c>
      <c r="C17" s="7" t="s">
        <v>26</v>
      </c>
      <c r="D17" s="8" t="s">
        <v>50</v>
      </c>
      <c r="E17" s="7" t="s">
        <v>16</v>
      </c>
      <c r="F17" s="7" t="s">
        <v>16</v>
      </c>
      <c r="G17" s="7" t="s">
        <v>16</v>
      </c>
      <c r="H17" s="7" t="s">
        <v>16</v>
      </c>
      <c r="I17" s="6">
        <f>16468613801</f>
        <v>16468613801</v>
      </c>
      <c r="J17" s="9" t="s">
        <v>51</v>
      </c>
      <c r="K17" s="7" t="s">
        <v>29</v>
      </c>
      <c r="L17" s="10">
        <v>4.9000000000000004</v>
      </c>
      <c r="M17" s="10">
        <v>438</v>
      </c>
      <c r="N17" s="8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3.8">
      <c r="A18" s="6">
        <v>17</v>
      </c>
      <c r="B18" s="7" t="s">
        <v>25</v>
      </c>
      <c r="C18" s="7" t="s">
        <v>26</v>
      </c>
      <c r="D18" s="8" t="s">
        <v>52</v>
      </c>
      <c r="E18" s="7" t="s">
        <v>16</v>
      </c>
      <c r="F18" s="7" t="s">
        <v>16</v>
      </c>
      <c r="G18" s="7" t="s">
        <v>16</v>
      </c>
      <c r="H18" s="7" t="s">
        <v>16</v>
      </c>
      <c r="I18" s="6">
        <f>17184888336</f>
        <v>17184888336</v>
      </c>
      <c r="J18" s="9" t="s">
        <v>53</v>
      </c>
      <c r="K18" s="7" t="s">
        <v>29</v>
      </c>
      <c r="L18" s="10">
        <v>3.7</v>
      </c>
      <c r="M18" s="10">
        <v>432</v>
      </c>
      <c r="N18" s="8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3.8">
      <c r="A19" s="6">
        <v>18</v>
      </c>
      <c r="B19" s="7" t="s">
        <v>25</v>
      </c>
      <c r="C19" s="7" t="s">
        <v>26</v>
      </c>
      <c r="D19" s="8" t="s">
        <v>54</v>
      </c>
      <c r="E19" s="7" t="s">
        <v>16</v>
      </c>
      <c r="F19" s="7" t="s">
        <v>16</v>
      </c>
      <c r="G19" s="7" t="s">
        <v>16</v>
      </c>
      <c r="H19" s="7" t="s">
        <v>16</v>
      </c>
      <c r="I19" s="6">
        <f>12129247249</f>
        <v>12129247249</v>
      </c>
      <c r="J19" s="9" t="s">
        <v>55</v>
      </c>
      <c r="K19" s="7" t="s">
        <v>56</v>
      </c>
      <c r="L19" s="10">
        <v>3.8</v>
      </c>
      <c r="M19" s="10">
        <v>16</v>
      </c>
      <c r="N19" s="8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3.8">
      <c r="A20" s="6">
        <v>19</v>
      </c>
      <c r="B20" s="7" t="s">
        <v>25</v>
      </c>
      <c r="C20" s="7" t="s">
        <v>26</v>
      </c>
      <c r="D20" s="8" t="s">
        <v>57</v>
      </c>
      <c r="E20" s="7" t="s">
        <v>16</v>
      </c>
      <c r="F20" s="7" t="s">
        <v>16</v>
      </c>
      <c r="G20" s="7" t="s">
        <v>16</v>
      </c>
      <c r="H20" s="7" t="s">
        <v>16</v>
      </c>
      <c r="I20" s="6">
        <f>19176756480</f>
        <v>19176756480</v>
      </c>
      <c r="J20" s="9" t="s">
        <v>58</v>
      </c>
      <c r="K20" s="7" t="s">
        <v>29</v>
      </c>
      <c r="L20" s="10">
        <v>3.8</v>
      </c>
      <c r="M20" s="10">
        <v>50</v>
      </c>
      <c r="N20" s="8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3.8">
      <c r="A21" s="6">
        <v>20</v>
      </c>
      <c r="B21" s="7" t="s">
        <v>13</v>
      </c>
      <c r="C21" s="7" t="s">
        <v>14</v>
      </c>
      <c r="D21" s="8" t="s">
        <v>59</v>
      </c>
      <c r="E21" s="7" t="s">
        <v>16</v>
      </c>
      <c r="F21" s="7" t="s">
        <v>16</v>
      </c>
      <c r="G21" s="7" t="s">
        <v>16</v>
      </c>
      <c r="H21" s="7" t="s">
        <v>16</v>
      </c>
      <c r="I21" s="6">
        <v>9795874121</v>
      </c>
      <c r="J21" s="9" t="s">
        <v>60</v>
      </c>
      <c r="K21" s="7" t="s">
        <v>61</v>
      </c>
      <c r="L21" s="10">
        <v>4.4000000000000004</v>
      </c>
      <c r="M21" s="10">
        <v>26</v>
      </c>
      <c r="N21" s="8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3.8">
      <c r="A22" s="6">
        <v>21</v>
      </c>
      <c r="B22" s="7" t="s">
        <v>13</v>
      </c>
      <c r="C22" s="7" t="s">
        <v>14</v>
      </c>
      <c r="D22" s="8" t="s">
        <v>62</v>
      </c>
      <c r="E22" s="7" t="s">
        <v>16</v>
      </c>
      <c r="F22" s="7" t="s">
        <v>16</v>
      </c>
      <c r="G22" s="7" t="s">
        <v>16</v>
      </c>
      <c r="H22" s="7" t="s">
        <v>16</v>
      </c>
      <c r="I22" s="6">
        <v>9118147955</v>
      </c>
      <c r="J22" s="9" t="s">
        <v>63</v>
      </c>
      <c r="K22" s="7" t="s">
        <v>61</v>
      </c>
      <c r="L22" s="10">
        <v>4.8</v>
      </c>
      <c r="M22" s="10">
        <v>66</v>
      </c>
      <c r="N22" s="8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3.8">
      <c r="A23" s="6">
        <v>22</v>
      </c>
      <c r="B23" s="7" t="s">
        <v>13</v>
      </c>
      <c r="C23" s="7" t="s">
        <v>14</v>
      </c>
      <c r="D23" s="8" t="s">
        <v>64</v>
      </c>
      <c r="E23" s="7" t="s">
        <v>16</v>
      </c>
      <c r="F23" s="7" t="s">
        <v>16</v>
      </c>
      <c r="G23" s="7" t="s">
        <v>16</v>
      </c>
      <c r="H23" s="7" t="s">
        <v>16</v>
      </c>
      <c r="I23" s="6">
        <v>9451314111</v>
      </c>
      <c r="J23" s="9" t="s">
        <v>65</v>
      </c>
      <c r="K23" s="7" t="s">
        <v>61</v>
      </c>
      <c r="L23" s="10">
        <v>4.2</v>
      </c>
      <c r="M23" s="10">
        <v>31</v>
      </c>
      <c r="N23" s="8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3.8">
      <c r="A24" s="6">
        <v>23</v>
      </c>
      <c r="B24" s="7" t="s">
        <v>13</v>
      </c>
      <c r="C24" s="7" t="s">
        <v>14</v>
      </c>
      <c r="D24" s="8" t="s">
        <v>66</v>
      </c>
      <c r="E24" s="7" t="s">
        <v>16</v>
      </c>
      <c r="F24" s="7" t="s">
        <v>16</v>
      </c>
      <c r="G24" s="7" t="s">
        <v>16</v>
      </c>
      <c r="H24" s="7" t="s">
        <v>16</v>
      </c>
      <c r="I24" s="6">
        <v>9415425996</v>
      </c>
      <c r="J24" s="9" t="s">
        <v>67</v>
      </c>
      <c r="K24" s="7" t="s">
        <v>61</v>
      </c>
      <c r="L24" s="10">
        <v>4.4000000000000004</v>
      </c>
      <c r="M24" s="10">
        <v>171</v>
      </c>
      <c r="N24" s="8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3.8">
      <c r="A25" s="6">
        <v>24</v>
      </c>
      <c r="B25" s="7" t="s">
        <v>13</v>
      </c>
      <c r="C25" s="7" t="s">
        <v>14</v>
      </c>
      <c r="D25" s="12" t="s">
        <v>68</v>
      </c>
      <c r="E25" s="7" t="s">
        <v>16</v>
      </c>
      <c r="F25" s="7" t="s">
        <v>16</v>
      </c>
      <c r="G25" s="7" t="s">
        <v>16</v>
      </c>
      <c r="H25" s="7" t="s">
        <v>16</v>
      </c>
      <c r="I25" s="6">
        <v>7398951960</v>
      </c>
      <c r="J25" s="9" t="s">
        <v>69</v>
      </c>
      <c r="K25" s="7" t="s">
        <v>61</v>
      </c>
      <c r="L25" s="10">
        <v>4.9000000000000004</v>
      </c>
      <c r="M25" s="10">
        <v>85</v>
      </c>
      <c r="N25" s="12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3.8">
      <c r="A26" s="6">
        <v>25</v>
      </c>
      <c r="B26" s="7" t="s">
        <v>13</v>
      </c>
      <c r="C26" s="7" t="s">
        <v>14</v>
      </c>
      <c r="D26" s="8" t="s">
        <v>70</v>
      </c>
      <c r="E26" s="7" t="s">
        <v>16</v>
      </c>
      <c r="F26" s="7" t="s">
        <v>16</v>
      </c>
      <c r="G26" s="7" t="s">
        <v>16</v>
      </c>
      <c r="H26" s="7" t="s">
        <v>16</v>
      </c>
      <c r="I26" s="6">
        <v>9839108070</v>
      </c>
      <c r="J26" s="9" t="s">
        <v>71</v>
      </c>
      <c r="K26" s="7" t="s">
        <v>61</v>
      </c>
      <c r="L26" s="10">
        <v>4.5</v>
      </c>
      <c r="M26" s="10">
        <v>71</v>
      </c>
      <c r="N26" s="8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3.8">
      <c r="A27" s="6">
        <v>26</v>
      </c>
      <c r="B27" s="7" t="s">
        <v>13</v>
      </c>
      <c r="C27" s="7" t="s">
        <v>14</v>
      </c>
      <c r="D27" s="8" t="s">
        <v>72</v>
      </c>
      <c r="E27" s="7" t="s">
        <v>16</v>
      </c>
      <c r="F27" s="7" t="s">
        <v>16</v>
      </c>
      <c r="G27" s="7" t="s">
        <v>16</v>
      </c>
      <c r="H27" s="7" t="s">
        <v>16</v>
      </c>
      <c r="I27" s="6">
        <v>9389812289</v>
      </c>
      <c r="J27" s="9" t="s">
        <v>73</v>
      </c>
      <c r="K27" s="7" t="s">
        <v>61</v>
      </c>
      <c r="L27" s="10">
        <v>3.8</v>
      </c>
      <c r="M27" s="10">
        <v>54</v>
      </c>
      <c r="N27" s="8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3.8">
      <c r="A28" s="6">
        <v>27</v>
      </c>
      <c r="B28" s="7" t="s">
        <v>13</v>
      </c>
      <c r="C28" s="7" t="s">
        <v>14</v>
      </c>
      <c r="D28" s="8" t="s">
        <v>74</v>
      </c>
      <c r="E28" s="7" t="s">
        <v>16</v>
      </c>
      <c r="F28" s="7" t="s">
        <v>16</v>
      </c>
      <c r="G28" s="7" t="s">
        <v>16</v>
      </c>
      <c r="H28" s="7" t="s">
        <v>16</v>
      </c>
      <c r="I28" s="6">
        <v>7408214444</v>
      </c>
      <c r="J28" s="9" t="s">
        <v>75</v>
      </c>
      <c r="K28" s="7" t="s">
        <v>61</v>
      </c>
      <c r="L28" s="10">
        <v>4.0999999999999996</v>
      </c>
      <c r="M28" s="10">
        <v>54</v>
      </c>
      <c r="N28" s="8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3.8">
      <c r="A29" s="6">
        <v>28</v>
      </c>
      <c r="B29" s="7" t="s">
        <v>13</v>
      </c>
      <c r="C29" s="7" t="s">
        <v>14</v>
      </c>
      <c r="D29" s="8" t="s">
        <v>76</v>
      </c>
      <c r="E29" s="7" t="s">
        <v>16</v>
      </c>
      <c r="F29" s="7" t="s">
        <v>16</v>
      </c>
      <c r="G29" s="7" t="s">
        <v>16</v>
      </c>
      <c r="H29" s="7" t="s">
        <v>16</v>
      </c>
      <c r="I29" s="6">
        <v>8419075786</v>
      </c>
      <c r="J29" s="9" t="s">
        <v>77</v>
      </c>
      <c r="K29" s="7" t="s">
        <v>61</v>
      </c>
      <c r="L29" s="10">
        <v>4.5</v>
      </c>
      <c r="M29" s="10">
        <v>24</v>
      </c>
      <c r="N29" s="8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3.8">
      <c r="A30" s="6">
        <v>29</v>
      </c>
      <c r="B30" s="7" t="s">
        <v>13</v>
      </c>
      <c r="C30" s="7" t="s">
        <v>14</v>
      </c>
      <c r="D30" s="8" t="s">
        <v>78</v>
      </c>
      <c r="E30" s="7" t="s">
        <v>16</v>
      </c>
      <c r="F30" s="7" t="s">
        <v>16</v>
      </c>
      <c r="G30" s="7" t="s">
        <v>16</v>
      </c>
      <c r="H30" s="7" t="s">
        <v>16</v>
      </c>
      <c r="I30" s="6">
        <v>5224068374</v>
      </c>
      <c r="J30" s="9" t="s">
        <v>79</v>
      </c>
      <c r="K30" s="7" t="s">
        <v>61</v>
      </c>
      <c r="L30" s="10">
        <v>4.5999999999999996</v>
      </c>
      <c r="M30" s="10">
        <v>33</v>
      </c>
      <c r="N30" s="8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3.8">
      <c r="A31" s="6">
        <v>30</v>
      </c>
      <c r="B31" s="7" t="s">
        <v>13</v>
      </c>
      <c r="C31" s="7" t="s">
        <v>14</v>
      </c>
      <c r="D31" s="8" t="s">
        <v>80</v>
      </c>
      <c r="E31" s="7" t="s">
        <v>16</v>
      </c>
      <c r="F31" s="7" t="s">
        <v>16</v>
      </c>
      <c r="G31" s="7" t="s">
        <v>16</v>
      </c>
      <c r="H31" s="7" t="s">
        <v>16</v>
      </c>
      <c r="I31" s="6">
        <v>9984232499</v>
      </c>
      <c r="J31" s="9" t="s">
        <v>81</v>
      </c>
      <c r="K31" s="7" t="s">
        <v>61</v>
      </c>
      <c r="L31" s="10">
        <v>5</v>
      </c>
      <c r="M31" s="10">
        <v>4</v>
      </c>
      <c r="N31" s="8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3.8">
      <c r="A32" s="6">
        <v>31</v>
      </c>
      <c r="B32" s="7" t="s">
        <v>13</v>
      </c>
      <c r="C32" s="7" t="s">
        <v>14</v>
      </c>
      <c r="D32" s="8" t="s">
        <v>82</v>
      </c>
      <c r="E32" s="7" t="s">
        <v>16</v>
      </c>
      <c r="F32" s="7" t="s">
        <v>16</v>
      </c>
      <c r="G32" s="7" t="s">
        <v>16</v>
      </c>
      <c r="H32" s="7" t="s">
        <v>16</v>
      </c>
      <c r="I32" s="6">
        <v>9415086495</v>
      </c>
      <c r="J32" s="9" t="s">
        <v>83</v>
      </c>
      <c r="K32" s="7" t="s">
        <v>61</v>
      </c>
      <c r="L32" s="10">
        <v>4.8</v>
      </c>
      <c r="M32" s="10">
        <v>21</v>
      </c>
      <c r="N32" s="8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3.8">
      <c r="A33" s="6">
        <v>32</v>
      </c>
      <c r="B33" s="7" t="s">
        <v>13</v>
      </c>
      <c r="C33" s="7" t="s">
        <v>14</v>
      </c>
      <c r="D33" s="8" t="s">
        <v>84</v>
      </c>
      <c r="E33" s="7" t="s">
        <v>16</v>
      </c>
      <c r="F33" s="7" t="s">
        <v>16</v>
      </c>
      <c r="G33" s="7" t="s">
        <v>16</v>
      </c>
      <c r="H33" s="7" t="s">
        <v>16</v>
      </c>
      <c r="I33" s="6">
        <v>6386395701</v>
      </c>
      <c r="J33" s="9" t="s">
        <v>85</v>
      </c>
      <c r="K33" s="7" t="s">
        <v>61</v>
      </c>
      <c r="L33" s="10">
        <v>5</v>
      </c>
      <c r="M33" s="10">
        <v>23</v>
      </c>
      <c r="N33" s="8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3.8">
      <c r="A34" s="6">
        <v>33</v>
      </c>
      <c r="B34" s="7" t="s">
        <v>13</v>
      </c>
      <c r="C34" s="7" t="s">
        <v>14</v>
      </c>
      <c r="D34" s="8" t="s">
        <v>86</v>
      </c>
      <c r="E34" s="7" t="s">
        <v>16</v>
      </c>
      <c r="F34" s="7" t="s">
        <v>16</v>
      </c>
      <c r="G34" s="7" t="s">
        <v>16</v>
      </c>
      <c r="H34" s="7" t="s">
        <v>16</v>
      </c>
      <c r="I34" s="6">
        <v>9151778888</v>
      </c>
      <c r="J34" s="9" t="s">
        <v>87</v>
      </c>
      <c r="K34" s="7" t="s">
        <v>61</v>
      </c>
      <c r="L34" s="10">
        <v>3.9</v>
      </c>
      <c r="M34" s="10">
        <v>83</v>
      </c>
      <c r="N34" s="8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3.8">
      <c r="A35" s="6">
        <v>34</v>
      </c>
      <c r="B35" s="7" t="s">
        <v>13</v>
      </c>
      <c r="C35" s="7" t="s">
        <v>14</v>
      </c>
      <c r="D35" s="8" t="s">
        <v>88</v>
      </c>
      <c r="E35" s="7" t="s">
        <v>16</v>
      </c>
      <c r="F35" s="7" t="s">
        <v>16</v>
      </c>
      <c r="G35" s="7" t="s">
        <v>16</v>
      </c>
      <c r="H35" s="7" t="s">
        <v>16</v>
      </c>
      <c r="I35" s="6">
        <v>9918858222</v>
      </c>
      <c r="J35" s="9" t="s">
        <v>89</v>
      </c>
      <c r="K35" s="7" t="s">
        <v>61</v>
      </c>
      <c r="L35" s="10">
        <v>3.8</v>
      </c>
      <c r="M35" s="10">
        <v>116</v>
      </c>
      <c r="N35" s="8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3.8">
      <c r="A36" s="6">
        <v>35</v>
      </c>
      <c r="B36" s="7" t="s">
        <v>13</v>
      </c>
      <c r="C36" s="7" t="s">
        <v>14</v>
      </c>
      <c r="D36" s="8" t="s">
        <v>90</v>
      </c>
      <c r="E36" s="7" t="s">
        <v>16</v>
      </c>
      <c r="F36" s="7" t="s">
        <v>16</v>
      </c>
      <c r="G36" s="7" t="s">
        <v>16</v>
      </c>
      <c r="H36" s="7" t="s">
        <v>16</v>
      </c>
      <c r="I36" s="6">
        <v>5224043245</v>
      </c>
      <c r="J36" s="9" t="s">
        <v>91</v>
      </c>
      <c r="K36" s="7" t="s">
        <v>61</v>
      </c>
      <c r="L36" s="10">
        <v>4.4000000000000004</v>
      </c>
      <c r="M36" s="10">
        <v>9</v>
      </c>
      <c r="N36" s="8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3.8">
      <c r="A37" s="6">
        <v>36</v>
      </c>
      <c r="B37" s="7" t="s">
        <v>13</v>
      </c>
      <c r="C37" s="7" t="s">
        <v>14</v>
      </c>
      <c r="D37" s="8" t="s">
        <v>92</v>
      </c>
      <c r="E37" s="7" t="s">
        <v>16</v>
      </c>
      <c r="F37" s="7" t="s">
        <v>16</v>
      </c>
      <c r="G37" s="7" t="s">
        <v>16</v>
      </c>
      <c r="H37" s="7" t="s">
        <v>16</v>
      </c>
      <c r="I37" s="6">
        <v>9161633499</v>
      </c>
      <c r="J37" s="9" t="s">
        <v>93</v>
      </c>
      <c r="K37" s="7" t="s">
        <v>61</v>
      </c>
      <c r="L37" s="10">
        <v>4.5</v>
      </c>
      <c r="M37" s="10">
        <v>11</v>
      </c>
      <c r="N37" s="8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3.8">
      <c r="A38" s="6">
        <v>37</v>
      </c>
      <c r="B38" s="7" t="s">
        <v>13</v>
      </c>
      <c r="C38" s="7" t="s">
        <v>14</v>
      </c>
      <c r="D38" s="8" t="s">
        <v>94</v>
      </c>
      <c r="E38" s="7" t="s">
        <v>16</v>
      </c>
      <c r="F38" s="7" t="s">
        <v>16</v>
      </c>
      <c r="G38" s="7" t="s">
        <v>16</v>
      </c>
      <c r="H38" s="7" t="s">
        <v>16</v>
      </c>
      <c r="I38" s="6">
        <v>7270075920</v>
      </c>
      <c r="J38" s="9" t="s">
        <v>95</v>
      </c>
      <c r="K38" s="7" t="s">
        <v>61</v>
      </c>
      <c r="L38" s="10">
        <v>4.9000000000000004</v>
      </c>
      <c r="M38" s="10">
        <v>79</v>
      </c>
      <c r="N38" s="8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3.8">
      <c r="A39" s="6">
        <v>38</v>
      </c>
      <c r="B39" s="7" t="s">
        <v>13</v>
      </c>
      <c r="C39" s="7" t="s">
        <v>14</v>
      </c>
      <c r="D39" s="8" t="s">
        <v>96</v>
      </c>
      <c r="E39" s="7" t="s">
        <v>16</v>
      </c>
      <c r="F39" s="7" t="s">
        <v>16</v>
      </c>
      <c r="G39" s="7" t="s">
        <v>16</v>
      </c>
      <c r="H39" s="7" t="s">
        <v>16</v>
      </c>
      <c r="I39" s="6">
        <v>5222638266</v>
      </c>
      <c r="J39" s="9" t="s">
        <v>97</v>
      </c>
      <c r="K39" s="7" t="s">
        <v>61</v>
      </c>
      <c r="L39" s="10">
        <v>4.5</v>
      </c>
      <c r="M39" s="10">
        <v>15</v>
      </c>
      <c r="N39" s="8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3.8">
      <c r="A40" s="6">
        <v>39</v>
      </c>
      <c r="B40" s="7" t="s">
        <v>13</v>
      </c>
      <c r="C40" s="7" t="s">
        <v>14</v>
      </c>
      <c r="D40" s="8" t="s">
        <v>98</v>
      </c>
      <c r="E40" s="7" t="s">
        <v>16</v>
      </c>
      <c r="F40" s="7" t="s">
        <v>16</v>
      </c>
      <c r="G40" s="7" t="s">
        <v>16</v>
      </c>
      <c r="H40" s="7" t="s">
        <v>16</v>
      </c>
      <c r="I40" s="6">
        <v>9936171731</v>
      </c>
      <c r="J40" s="9" t="s">
        <v>99</v>
      </c>
      <c r="K40" s="7" t="s">
        <v>61</v>
      </c>
      <c r="L40" s="10">
        <v>4.8</v>
      </c>
      <c r="M40" s="10">
        <v>91</v>
      </c>
      <c r="N40" s="8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3.8">
      <c r="A41" s="6">
        <v>40</v>
      </c>
      <c r="B41" s="7" t="s">
        <v>25</v>
      </c>
      <c r="C41" s="7" t="s">
        <v>26</v>
      </c>
      <c r="D41" s="8" t="s">
        <v>100</v>
      </c>
      <c r="E41" s="7" t="s">
        <v>16</v>
      </c>
      <c r="F41" s="7" t="s">
        <v>16</v>
      </c>
      <c r="G41" s="7" t="s">
        <v>16</v>
      </c>
      <c r="H41" s="7" t="s">
        <v>16</v>
      </c>
      <c r="I41" s="6">
        <f>17187140822</f>
        <v>17187140822</v>
      </c>
      <c r="J41" s="9" t="s">
        <v>101</v>
      </c>
      <c r="K41" s="7" t="s">
        <v>61</v>
      </c>
      <c r="L41" s="10">
        <v>5</v>
      </c>
      <c r="M41" s="10">
        <v>6</v>
      </c>
      <c r="N41" s="8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3.8">
      <c r="A42" s="6">
        <v>41</v>
      </c>
      <c r="B42" s="7" t="s">
        <v>25</v>
      </c>
      <c r="C42" s="7" t="s">
        <v>26</v>
      </c>
      <c r="D42" s="8" t="s">
        <v>102</v>
      </c>
      <c r="E42" s="7" t="s">
        <v>16</v>
      </c>
      <c r="F42" s="7" t="s">
        <v>16</v>
      </c>
      <c r="G42" s="7" t="s">
        <v>16</v>
      </c>
      <c r="H42" s="7" t="s">
        <v>16</v>
      </c>
      <c r="I42" s="6">
        <f>12127776864</f>
        <v>12127776864</v>
      </c>
      <c r="J42" s="9" t="s">
        <v>103</v>
      </c>
      <c r="K42" s="7" t="s">
        <v>61</v>
      </c>
      <c r="L42" s="10">
        <v>5</v>
      </c>
      <c r="M42" s="10">
        <v>50</v>
      </c>
      <c r="N42" s="8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3.8">
      <c r="A43" s="6">
        <v>42</v>
      </c>
      <c r="B43" s="7" t="s">
        <v>25</v>
      </c>
      <c r="C43" s="7" t="s">
        <v>26</v>
      </c>
      <c r="D43" s="8" t="s">
        <v>104</v>
      </c>
      <c r="E43" s="7" t="s">
        <v>16</v>
      </c>
      <c r="F43" s="7" t="s">
        <v>16</v>
      </c>
      <c r="G43" s="7" t="s">
        <v>16</v>
      </c>
      <c r="H43" s="7" t="s">
        <v>16</v>
      </c>
      <c r="I43" s="6">
        <f>17182329077</f>
        <v>17182329077</v>
      </c>
      <c r="J43" s="9" t="s">
        <v>105</v>
      </c>
      <c r="K43" s="7" t="s">
        <v>61</v>
      </c>
      <c r="L43" s="10">
        <v>3</v>
      </c>
      <c r="M43" s="10">
        <v>12</v>
      </c>
      <c r="N43" s="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3.8">
      <c r="A44" s="6">
        <v>43</v>
      </c>
      <c r="B44" s="7" t="s">
        <v>25</v>
      </c>
      <c r="C44" s="7" t="s">
        <v>26</v>
      </c>
      <c r="D44" s="8" t="s">
        <v>106</v>
      </c>
      <c r="E44" s="7" t="s">
        <v>16</v>
      </c>
      <c r="F44" s="7" t="s">
        <v>16</v>
      </c>
      <c r="G44" s="7" t="s">
        <v>16</v>
      </c>
      <c r="H44" s="7" t="s">
        <v>16</v>
      </c>
      <c r="I44" s="6">
        <f>12127058717</f>
        <v>12127058717</v>
      </c>
      <c r="J44" s="9" t="s">
        <v>107</v>
      </c>
      <c r="K44" s="7" t="s">
        <v>61</v>
      </c>
      <c r="L44" s="10">
        <v>4.0999999999999996</v>
      </c>
      <c r="M44" s="10">
        <v>78</v>
      </c>
      <c r="N44" s="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3.8">
      <c r="A45" s="6">
        <v>44</v>
      </c>
      <c r="B45" s="7" t="s">
        <v>25</v>
      </c>
      <c r="C45" s="7" t="s">
        <v>26</v>
      </c>
      <c r="D45" s="8" t="s">
        <v>108</v>
      </c>
      <c r="E45" s="7" t="s">
        <v>16</v>
      </c>
      <c r="F45" s="7" t="s">
        <v>16</v>
      </c>
      <c r="G45" s="7" t="s">
        <v>16</v>
      </c>
      <c r="H45" s="7" t="s">
        <v>16</v>
      </c>
      <c r="I45" s="6">
        <f>17187888899</f>
        <v>17187888899</v>
      </c>
      <c r="J45" s="9" t="s">
        <v>109</v>
      </c>
      <c r="K45" s="7" t="s">
        <v>61</v>
      </c>
      <c r="L45" s="10">
        <v>2.9</v>
      </c>
      <c r="M45" s="10">
        <v>52</v>
      </c>
      <c r="N45" s="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3.8">
      <c r="A46" s="6">
        <v>45</v>
      </c>
      <c r="B46" s="7" t="s">
        <v>25</v>
      </c>
      <c r="C46" s="7" t="s">
        <v>26</v>
      </c>
      <c r="D46" s="8" t="s">
        <v>110</v>
      </c>
      <c r="E46" s="7" t="s">
        <v>16</v>
      </c>
      <c r="F46" s="7" t="s">
        <v>16</v>
      </c>
      <c r="G46" s="7" t="s">
        <v>16</v>
      </c>
      <c r="H46" s="7" t="s">
        <v>16</v>
      </c>
      <c r="I46" s="6">
        <f>12124731587</f>
        <v>12124731587</v>
      </c>
      <c r="J46" s="9" t="s">
        <v>111</v>
      </c>
      <c r="K46" s="7" t="s">
        <v>61</v>
      </c>
      <c r="L46" s="10">
        <v>4.7</v>
      </c>
      <c r="M46" s="10">
        <v>26</v>
      </c>
      <c r="N46" s="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3.8">
      <c r="A47" s="6">
        <v>46</v>
      </c>
      <c r="B47" s="7" t="s">
        <v>25</v>
      </c>
      <c r="C47" s="7" t="s">
        <v>26</v>
      </c>
      <c r="D47" s="8" t="s">
        <v>112</v>
      </c>
      <c r="E47" s="7" t="s">
        <v>16</v>
      </c>
      <c r="F47" s="7" t="s">
        <v>16</v>
      </c>
      <c r="G47" s="7" t="s">
        <v>16</v>
      </c>
      <c r="H47" s="7" t="s">
        <v>16</v>
      </c>
      <c r="I47" s="6">
        <f>12126500911</f>
        <v>12126500911</v>
      </c>
      <c r="J47" s="9" t="s">
        <v>113</v>
      </c>
      <c r="K47" s="7" t="s">
        <v>114</v>
      </c>
      <c r="L47" s="10">
        <v>3.7</v>
      </c>
      <c r="M47" s="10">
        <v>28</v>
      </c>
      <c r="N47" s="8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3.8">
      <c r="A48" s="6">
        <v>47</v>
      </c>
      <c r="B48" s="7" t="s">
        <v>25</v>
      </c>
      <c r="C48" s="7" t="s">
        <v>26</v>
      </c>
      <c r="D48" s="8" t="s">
        <v>115</v>
      </c>
      <c r="E48" s="7" t="s">
        <v>16</v>
      </c>
      <c r="F48" s="7" t="s">
        <v>16</v>
      </c>
      <c r="G48" s="7" t="s">
        <v>16</v>
      </c>
      <c r="H48" s="7" t="s">
        <v>16</v>
      </c>
      <c r="I48" s="6">
        <f>17188719200</f>
        <v>17188719200</v>
      </c>
      <c r="J48" s="9" t="s">
        <v>116</v>
      </c>
      <c r="K48" s="7" t="s">
        <v>114</v>
      </c>
      <c r="L48" s="10">
        <v>4.7</v>
      </c>
      <c r="M48" s="10">
        <v>3</v>
      </c>
      <c r="N48" s="8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3.8">
      <c r="A49" s="6">
        <v>48</v>
      </c>
      <c r="B49" s="7" t="s">
        <v>25</v>
      </c>
      <c r="C49" s="7" t="s">
        <v>26</v>
      </c>
      <c r="D49" s="8" t="s">
        <v>117</v>
      </c>
      <c r="E49" s="7" t="s">
        <v>16</v>
      </c>
      <c r="F49" s="7" t="s">
        <v>16</v>
      </c>
      <c r="G49" s="7" t="s">
        <v>16</v>
      </c>
      <c r="H49" s="7" t="s">
        <v>16</v>
      </c>
      <c r="I49" s="6">
        <f>12122458708</f>
        <v>12122458708</v>
      </c>
      <c r="J49" s="9" t="s">
        <v>118</v>
      </c>
      <c r="K49" s="7" t="s">
        <v>114</v>
      </c>
      <c r="L49" s="10">
        <v>2.2999999999999998</v>
      </c>
      <c r="M49" s="10">
        <v>37</v>
      </c>
      <c r="N49" s="8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3.8">
      <c r="A50" s="6">
        <v>49</v>
      </c>
      <c r="B50" s="7" t="s">
        <v>25</v>
      </c>
      <c r="C50" s="7" t="s">
        <v>26</v>
      </c>
      <c r="D50" s="8" t="s">
        <v>119</v>
      </c>
      <c r="E50" s="7" t="s">
        <v>16</v>
      </c>
      <c r="F50" s="7" t="s">
        <v>16</v>
      </c>
      <c r="G50" s="7" t="s">
        <v>16</v>
      </c>
      <c r="H50" s="7" t="s">
        <v>16</v>
      </c>
      <c r="I50" s="6">
        <f>12122650774</f>
        <v>12122650774</v>
      </c>
      <c r="J50" s="9" t="s">
        <v>120</v>
      </c>
      <c r="K50" s="7" t="s">
        <v>114</v>
      </c>
      <c r="L50" s="10">
        <v>2.6</v>
      </c>
      <c r="M50" s="10">
        <v>93</v>
      </c>
      <c r="N50" s="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3.8">
      <c r="A51" s="6">
        <v>50</v>
      </c>
      <c r="B51" s="7" t="s">
        <v>25</v>
      </c>
      <c r="C51" s="7" t="s">
        <v>26</v>
      </c>
      <c r="D51" s="8" t="s">
        <v>121</v>
      </c>
      <c r="E51" s="7" t="s">
        <v>16</v>
      </c>
      <c r="F51" s="7" t="s">
        <v>16</v>
      </c>
      <c r="G51" s="7" t="s">
        <v>16</v>
      </c>
      <c r="H51" s="7" t="s">
        <v>16</v>
      </c>
      <c r="I51" s="6">
        <f>16468239289</f>
        <v>16468239289</v>
      </c>
      <c r="J51" s="9" t="s">
        <v>122</v>
      </c>
      <c r="K51" s="7" t="s">
        <v>114</v>
      </c>
      <c r="L51" s="10">
        <v>3.9</v>
      </c>
      <c r="M51" s="10">
        <v>14</v>
      </c>
      <c r="N51" s="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3.8">
      <c r="A52" s="6">
        <v>51</v>
      </c>
      <c r="B52" s="7" t="s">
        <v>25</v>
      </c>
      <c r="C52" s="7" t="s">
        <v>26</v>
      </c>
      <c r="D52" s="8" t="s">
        <v>123</v>
      </c>
      <c r="E52" s="7" t="s">
        <v>16</v>
      </c>
      <c r="F52" s="7" t="s">
        <v>16</v>
      </c>
      <c r="G52" s="7" t="s">
        <v>16</v>
      </c>
      <c r="H52" s="7" t="s">
        <v>16</v>
      </c>
      <c r="I52" s="6">
        <f>18777275464</f>
        <v>18777275464</v>
      </c>
      <c r="J52" s="9" t="s">
        <v>124</v>
      </c>
      <c r="K52" s="7" t="s">
        <v>114</v>
      </c>
      <c r="L52" s="10">
        <v>3</v>
      </c>
      <c r="M52" s="10">
        <v>97</v>
      </c>
      <c r="N52" s="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3.8">
      <c r="A53" s="6">
        <v>52</v>
      </c>
      <c r="B53" s="7" t="s">
        <v>25</v>
      </c>
      <c r="C53" s="7" t="s">
        <v>26</v>
      </c>
      <c r="D53" s="8" t="s">
        <v>125</v>
      </c>
      <c r="E53" s="7" t="s">
        <v>16</v>
      </c>
      <c r="F53" s="7" t="s">
        <v>16</v>
      </c>
      <c r="G53" s="7" t="s">
        <v>16</v>
      </c>
      <c r="H53" s="7" t="s">
        <v>16</v>
      </c>
      <c r="I53" s="6">
        <f>12125484370</f>
        <v>12125484370</v>
      </c>
      <c r="J53" s="9" t="s">
        <v>126</v>
      </c>
      <c r="K53" s="7" t="s">
        <v>114</v>
      </c>
      <c r="L53" s="10">
        <v>4.5</v>
      </c>
      <c r="M53" s="10">
        <v>162</v>
      </c>
      <c r="N53" s="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3.8">
      <c r="A54" s="6">
        <v>53</v>
      </c>
      <c r="B54" s="7" t="s">
        <v>25</v>
      </c>
      <c r="C54" s="7" t="s">
        <v>26</v>
      </c>
      <c r="D54" s="8" t="s">
        <v>127</v>
      </c>
      <c r="E54" s="7" t="s">
        <v>16</v>
      </c>
      <c r="F54" s="7" t="s">
        <v>16</v>
      </c>
      <c r="G54" s="7" t="s">
        <v>16</v>
      </c>
      <c r="H54" s="7" t="s">
        <v>16</v>
      </c>
      <c r="I54" s="6">
        <f>12127220066</f>
        <v>12127220066</v>
      </c>
      <c r="J54" s="9" t="s">
        <v>128</v>
      </c>
      <c r="K54" s="7" t="s">
        <v>114</v>
      </c>
      <c r="L54" s="10">
        <v>4.7</v>
      </c>
      <c r="M54" s="10">
        <v>10</v>
      </c>
      <c r="N54" s="8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3.8">
      <c r="A55" s="6">
        <v>54</v>
      </c>
      <c r="B55" s="7" t="s">
        <v>25</v>
      </c>
      <c r="C55" s="7" t="s">
        <v>26</v>
      </c>
      <c r="D55" s="8" t="s">
        <v>129</v>
      </c>
      <c r="E55" s="7" t="s">
        <v>16</v>
      </c>
      <c r="F55" s="7" t="s">
        <v>16</v>
      </c>
      <c r="G55" s="7" t="s">
        <v>16</v>
      </c>
      <c r="H55" s="7" t="s">
        <v>16</v>
      </c>
      <c r="I55" s="6">
        <f>12122429791</f>
        <v>12122429791</v>
      </c>
      <c r="J55" s="9" t="s">
        <v>130</v>
      </c>
      <c r="K55" s="7" t="s">
        <v>114</v>
      </c>
      <c r="L55" s="10">
        <v>3.2</v>
      </c>
      <c r="M55" s="10">
        <v>38</v>
      </c>
      <c r="N55" s="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3.8">
      <c r="A56" s="6">
        <v>55</v>
      </c>
      <c r="B56" s="7" t="s">
        <v>13</v>
      </c>
      <c r="C56" s="7" t="s">
        <v>14</v>
      </c>
      <c r="D56" s="8" t="s">
        <v>131</v>
      </c>
      <c r="E56" s="7" t="s">
        <v>16</v>
      </c>
      <c r="F56" s="7" t="s">
        <v>16</v>
      </c>
      <c r="G56" s="7" t="s">
        <v>16</v>
      </c>
      <c r="H56" s="7" t="s">
        <v>16</v>
      </c>
      <c r="I56" s="13">
        <v>7347867373</v>
      </c>
      <c r="J56" s="14" t="s">
        <v>132</v>
      </c>
      <c r="K56" s="7" t="s">
        <v>61</v>
      </c>
      <c r="L56" s="10">
        <v>3.3</v>
      </c>
      <c r="M56" s="10">
        <v>24</v>
      </c>
      <c r="N56" s="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3.8">
      <c r="A57" s="6">
        <v>56</v>
      </c>
      <c r="B57" s="7" t="s">
        <v>13</v>
      </c>
      <c r="C57" s="7" t="s">
        <v>14</v>
      </c>
      <c r="D57" s="8" t="s">
        <v>133</v>
      </c>
      <c r="E57" s="7" t="s">
        <v>16</v>
      </c>
      <c r="F57" s="7" t="s">
        <v>16</v>
      </c>
      <c r="G57" s="7" t="s">
        <v>16</v>
      </c>
      <c r="H57" s="7" t="s">
        <v>16</v>
      </c>
      <c r="I57" s="13">
        <v>7081285540</v>
      </c>
      <c r="J57" s="14" t="s">
        <v>134</v>
      </c>
      <c r="K57" s="7" t="s">
        <v>61</v>
      </c>
      <c r="L57" s="10">
        <v>3.8</v>
      </c>
      <c r="M57" s="10">
        <v>53</v>
      </c>
      <c r="N57" s="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3.8">
      <c r="A58" s="6">
        <v>57</v>
      </c>
      <c r="B58" s="7" t="s">
        <v>13</v>
      </c>
      <c r="C58" s="7" t="s">
        <v>14</v>
      </c>
      <c r="D58" s="8" t="s">
        <v>135</v>
      </c>
      <c r="E58" s="7" t="s">
        <v>16</v>
      </c>
      <c r="F58" s="7" t="s">
        <v>16</v>
      </c>
      <c r="G58" s="7" t="s">
        <v>16</v>
      </c>
      <c r="H58" s="7" t="s">
        <v>16</v>
      </c>
      <c r="I58" s="13">
        <v>9936778598</v>
      </c>
      <c r="J58" s="14" t="s">
        <v>136</v>
      </c>
      <c r="K58" s="7" t="s">
        <v>61</v>
      </c>
      <c r="L58" s="10">
        <v>4.5999999999999996</v>
      </c>
      <c r="M58" s="10">
        <v>29</v>
      </c>
      <c r="N58" s="8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3.8">
      <c r="A59" s="6">
        <v>58</v>
      </c>
      <c r="B59" s="7" t="s">
        <v>13</v>
      </c>
      <c r="C59" s="7" t="s">
        <v>14</v>
      </c>
      <c r="D59" s="8" t="s">
        <v>137</v>
      </c>
      <c r="E59" s="7" t="s">
        <v>16</v>
      </c>
      <c r="F59" s="7" t="s">
        <v>16</v>
      </c>
      <c r="G59" s="7" t="s">
        <v>16</v>
      </c>
      <c r="H59" s="7" t="s">
        <v>16</v>
      </c>
      <c r="I59" s="13">
        <v>9839628426</v>
      </c>
      <c r="J59" s="14" t="s">
        <v>138</v>
      </c>
      <c r="K59" s="7" t="s">
        <v>61</v>
      </c>
      <c r="L59" s="10">
        <v>4.0999999999999996</v>
      </c>
      <c r="M59" s="10">
        <v>7</v>
      </c>
      <c r="N59" s="8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3.8">
      <c r="A60" s="6">
        <v>59</v>
      </c>
      <c r="B60" s="7" t="s">
        <v>13</v>
      </c>
      <c r="C60" s="7" t="s">
        <v>14</v>
      </c>
      <c r="D60" s="8" t="s">
        <v>139</v>
      </c>
      <c r="E60" s="7" t="s">
        <v>16</v>
      </c>
      <c r="F60" s="7" t="s">
        <v>16</v>
      </c>
      <c r="G60" s="7" t="s">
        <v>16</v>
      </c>
      <c r="H60" s="7" t="s">
        <v>16</v>
      </c>
      <c r="I60" s="6">
        <v>8934029404</v>
      </c>
      <c r="J60" s="9" t="s">
        <v>140</v>
      </c>
      <c r="K60" s="7" t="s">
        <v>61</v>
      </c>
      <c r="L60" s="10">
        <v>4</v>
      </c>
      <c r="M60" s="10">
        <v>6</v>
      </c>
      <c r="N60" s="8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3.8">
      <c r="A61" s="6">
        <v>60</v>
      </c>
      <c r="B61" s="7" t="s">
        <v>13</v>
      </c>
      <c r="C61" s="7" t="s">
        <v>14</v>
      </c>
      <c r="D61" s="8" t="s">
        <v>141</v>
      </c>
      <c r="E61" s="7" t="s">
        <v>16</v>
      </c>
      <c r="F61" s="7" t="s">
        <v>16</v>
      </c>
      <c r="G61" s="7" t="s">
        <v>16</v>
      </c>
      <c r="H61" s="7" t="s">
        <v>16</v>
      </c>
      <c r="I61" s="6">
        <v>8299296398</v>
      </c>
      <c r="J61" s="9" t="s">
        <v>142</v>
      </c>
      <c r="K61" s="7" t="s">
        <v>61</v>
      </c>
      <c r="L61" s="10">
        <v>4.2</v>
      </c>
      <c r="M61" s="10">
        <v>32</v>
      </c>
      <c r="N61" s="8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3.8">
      <c r="A62" s="6">
        <v>61</v>
      </c>
      <c r="B62" s="7" t="s">
        <v>13</v>
      </c>
      <c r="C62" s="7" t="s">
        <v>14</v>
      </c>
      <c r="D62" s="8" t="s">
        <v>143</v>
      </c>
      <c r="E62" s="7" t="s">
        <v>16</v>
      </c>
      <c r="F62" s="7" t="s">
        <v>16</v>
      </c>
      <c r="G62" s="7" t="s">
        <v>16</v>
      </c>
      <c r="H62" s="7" t="s">
        <v>16</v>
      </c>
      <c r="I62" s="6">
        <v>6392701509</v>
      </c>
      <c r="J62" s="9" t="s">
        <v>144</v>
      </c>
      <c r="K62" s="7" t="s">
        <v>61</v>
      </c>
      <c r="L62" s="10">
        <v>4.9000000000000004</v>
      </c>
      <c r="M62" s="10">
        <v>181</v>
      </c>
      <c r="N62" s="8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3.8">
      <c r="A63" s="6">
        <v>62</v>
      </c>
      <c r="B63" s="7" t="s">
        <v>13</v>
      </c>
      <c r="C63" s="7" t="s">
        <v>14</v>
      </c>
      <c r="D63" s="8" t="s">
        <v>145</v>
      </c>
      <c r="E63" s="7" t="s">
        <v>16</v>
      </c>
      <c r="F63" s="7" t="s">
        <v>16</v>
      </c>
      <c r="G63" s="7" t="s">
        <v>16</v>
      </c>
      <c r="H63" s="7" t="s">
        <v>16</v>
      </c>
      <c r="I63" s="6">
        <v>9984417630</v>
      </c>
      <c r="J63" s="9" t="s">
        <v>146</v>
      </c>
      <c r="K63" s="7" t="s">
        <v>61</v>
      </c>
      <c r="L63" s="10">
        <v>5</v>
      </c>
      <c r="M63" s="10">
        <v>2</v>
      </c>
      <c r="N63" s="8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3.8">
      <c r="A64" s="6">
        <v>63</v>
      </c>
      <c r="B64" s="7" t="s">
        <v>13</v>
      </c>
      <c r="C64" s="7" t="s">
        <v>14</v>
      </c>
      <c r="D64" s="8" t="s">
        <v>147</v>
      </c>
      <c r="E64" s="7" t="s">
        <v>16</v>
      </c>
      <c r="F64" s="7" t="s">
        <v>16</v>
      </c>
      <c r="G64" s="7" t="s">
        <v>16</v>
      </c>
      <c r="H64" s="7" t="s">
        <v>16</v>
      </c>
      <c r="I64" s="6">
        <v>9554997653</v>
      </c>
      <c r="J64" s="9" t="s">
        <v>148</v>
      </c>
      <c r="K64" s="7" t="s">
        <v>61</v>
      </c>
      <c r="L64" s="10">
        <v>4.9000000000000004</v>
      </c>
      <c r="M64" s="10">
        <v>63</v>
      </c>
      <c r="N64" s="8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3.8">
      <c r="A65" s="6">
        <v>64</v>
      </c>
      <c r="B65" s="7" t="s">
        <v>13</v>
      </c>
      <c r="C65" s="7" t="s">
        <v>14</v>
      </c>
      <c r="D65" s="8" t="s">
        <v>149</v>
      </c>
      <c r="E65" s="7" t="s">
        <v>16</v>
      </c>
      <c r="F65" s="7" t="s">
        <v>16</v>
      </c>
      <c r="G65" s="7" t="s">
        <v>16</v>
      </c>
      <c r="H65" s="7" t="s">
        <v>16</v>
      </c>
      <c r="I65" s="6">
        <v>9198595255</v>
      </c>
      <c r="J65" s="9" t="s">
        <v>150</v>
      </c>
      <c r="K65" s="7" t="s">
        <v>61</v>
      </c>
      <c r="L65" s="10">
        <v>4.2</v>
      </c>
      <c r="M65" s="10">
        <v>179</v>
      </c>
      <c r="N65" s="8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3.8">
      <c r="A66" s="6">
        <v>65</v>
      </c>
      <c r="B66" s="7" t="s">
        <v>13</v>
      </c>
      <c r="C66" s="7" t="s">
        <v>14</v>
      </c>
      <c r="D66" s="12" t="s">
        <v>151</v>
      </c>
      <c r="E66" s="7" t="s">
        <v>16</v>
      </c>
      <c r="F66" s="7" t="s">
        <v>16</v>
      </c>
      <c r="G66" s="7" t="s">
        <v>16</v>
      </c>
      <c r="H66" s="7" t="s">
        <v>16</v>
      </c>
      <c r="I66" s="6">
        <v>9838179666</v>
      </c>
      <c r="J66" s="9" t="s">
        <v>152</v>
      </c>
      <c r="K66" s="7" t="s">
        <v>61</v>
      </c>
      <c r="L66" s="10">
        <v>5</v>
      </c>
      <c r="M66" s="10">
        <v>6</v>
      </c>
      <c r="N66" s="12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3.8">
      <c r="A67" s="6">
        <v>66</v>
      </c>
      <c r="B67" s="7" t="s">
        <v>13</v>
      </c>
      <c r="C67" s="7" t="s">
        <v>14</v>
      </c>
      <c r="D67" s="8" t="s">
        <v>153</v>
      </c>
      <c r="E67" s="7" t="s">
        <v>16</v>
      </c>
      <c r="F67" s="7" t="s">
        <v>16</v>
      </c>
      <c r="G67" s="7" t="s">
        <v>16</v>
      </c>
      <c r="H67" s="7" t="s">
        <v>16</v>
      </c>
      <c r="I67" s="6">
        <v>9307055555</v>
      </c>
      <c r="J67" s="9" t="s">
        <v>154</v>
      </c>
      <c r="K67" s="7" t="s">
        <v>61</v>
      </c>
      <c r="L67" s="10">
        <v>3.7</v>
      </c>
      <c r="M67" s="10">
        <v>6</v>
      </c>
      <c r="N67" s="8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3.8">
      <c r="A68" s="6">
        <v>67</v>
      </c>
      <c r="B68" s="7" t="s">
        <v>13</v>
      </c>
      <c r="C68" s="7" t="s">
        <v>14</v>
      </c>
      <c r="D68" s="8" t="s">
        <v>155</v>
      </c>
      <c r="E68" s="7" t="s">
        <v>16</v>
      </c>
      <c r="F68" s="7" t="s">
        <v>16</v>
      </c>
      <c r="G68" s="7" t="s">
        <v>16</v>
      </c>
      <c r="H68" s="7" t="s">
        <v>16</v>
      </c>
      <c r="I68" s="6">
        <v>5224236566</v>
      </c>
      <c r="J68" s="9" t="s">
        <v>156</v>
      </c>
      <c r="K68" s="7" t="s">
        <v>61</v>
      </c>
      <c r="L68" s="10">
        <v>4.5999999999999996</v>
      </c>
      <c r="M68" s="10">
        <v>11</v>
      </c>
      <c r="N68" s="8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3.8">
      <c r="A69" s="6">
        <v>68</v>
      </c>
      <c r="B69" s="7" t="s">
        <v>13</v>
      </c>
      <c r="C69" s="7" t="s">
        <v>14</v>
      </c>
      <c r="D69" s="8" t="s">
        <v>157</v>
      </c>
      <c r="E69" s="7" t="s">
        <v>16</v>
      </c>
      <c r="F69" s="7" t="s">
        <v>16</v>
      </c>
      <c r="G69" s="7" t="s">
        <v>16</v>
      </c>
      <c r="H69" s="7" t="s">
        <v>16</v>
      </c>
      <c r="I69" s="6">
        <v>8707605386</v>
      </c>
      <c r="J69" s="9" t="s">
        <v>158</v>
      </c>
      <c r="K69" s="7" t="s">
        <v>61</v>
      </c>
      <c r="L69" s="10">
        <v>3.6</v>
      </c>
      <c r="M69" s="10">
        <v>5</v>
      </c>
      <c r="N69" s="8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3.8">
      <c r="A70" s="6">
        <v>69</v>
      </c>
      <c r="B70" s="7" t="s">
        <v>13</v>
      </c>
      <c r="C70" s="7" t="s">
        <v>14</v>
      </c>
      <c r="D70" s="8" t="s">
        <v>159</v>
      </c>
      <c r="E70" s="7" t="s">
        <v>16</v>
      </c>
      <c r="F70" s="7" t="s">
        <v>16</v>
      </c>
      <c r="G70" s="7" t="s">
        <v>16</v>
      </c>
      <c r="H70" s="7" t="s">
        <v>16</v>
      </c>
      <c r="I70" s="6">
        <v>9519727481</v>
      </c>
      <c r="J70" s="9" t="s">
        <v>160</v>
      </c>
      <c r="K70" s="7" t="s">
        <v>61</v>
      </c>
      <c r="L70" s="10">
        <v>5</v>
      </c>
      <c r="M70" s="10">
        <v>137</v>
      </c>
      <c r="N70" s="8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3.8">
      <c r="A71" s="6">
        <v>70</v>
      </c>
      <c r="B71" s="7" t="s">
        <v>25</v>
      </c>
      <c r="C71" s="7" t="s">
        <v>26</v>
      </c>
      <c r="D71" s="8" t="s">
        <v>161</v>
      </c>
      <c r="E71" s="7" t="s">
        <v>16</v>
      </c>
      <c r="F71" s="7" t="s">
        <v>16</v>
      </c>
      <c r="G71" s="7" t="s">
        <v>16</v>
      </c>
      <c r="H71" s="7" t="s">
        <v>16</v>
      </c>
      <c r="I71" s="13">
        <f>19174091992</f>
        <v>19174091992</v>
      </c>
      <c r="J71" s="14" t="s">
        <v>162</v>
      </c>
      <c r="K71" s="7" t="s">
        <v>114</v>
      </c>
      <c r="L71" s="10">
        <v>1.2</v>
      </c>
      <c r="M71" s="10">
        <v>25</v>
      </c>
      <c r="N71" s="8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3.8">
      <c r="A72" s="6">
        <v>71</v>
      </c>
      <c r="B72" s="7" t="s">
        <v>25</v>
      </c>
      <c r="C72" s="7" t="s">
        <v>26</v>
      </c>
      <c r="D72" s="8" t="s">
        <v>163</v>
      </c>
      <c r="E72" s="7" t="s">
        <v>16</v>
      </c>
      <c r="F72" s="7" t="s">
        <v>16</v>
      </c>
      <c r="G72" s="7" t="s">
        <v>16</v>
      </c>
      <c r="H72" s="7" t="s">
        <v>16</v>
      </c>
      <c r="I72" s="13">
        <f>19177451148</f>
        <v>19177451148</v>
      </c>
      <c r="J72" s="14" t="s">
        <v>164</v>
      </c>
      <c r="K72" s="7" t="s">
        <v>114</v>
      </c>
      <c r="L72" s="10">
        <v>3.3</v>
      </c>
      <c r="M72" s="10">
        <v>19</v>
      </c>
      <c r="N72" s="8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3.8">
      <c r="A73" s="6">
        <v>72</v>
      </c>
      <c r="B73" s="7" t="s">
        <v>25</v>
      </c>
      <c r="C73" s="7" t="s">
        <v>26</v>
      </c>
      <c r="D73" s="8" t="s">
        <v>165</v>
      </c>
      <c r="E73" s="7" t="s">
        <v>16</v>
      </c>
      <c r="F73" s="7" t="s">
        <v>16</v>
      </c>
      <c r="G73" s="7" t="s">
        <v>16</v>
      </c>
      <c r="H73" s="7" t="s">
        <v>16</v>
      </c>
      <c r="I73" s="13">
        <f>12123682579</f>
        <v>12123682579</v>
      </c>
      <c r="J73" s="14" t="s">
        <v>166</v>
      </c>
      <c r="K73" s="7" t="s">
        <v>114</v>
      </c>
      <c r="L73" s="10">
        <v>2.8</v>
      </c>
      <c r="M73" s="10">
        <v>5</v>
      </c>
      <c r="N73" s="8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3.8">
      <c r="A74" s="6">
        <v>73</v>
      </c>
      <c r="B74" s="7" t="s">
        <v>25</v>
      </c>
      <c r="C74" s="7" t="s">
        <v>26</v>
      </c>
      <c r="D74" s="8" t="s">
        <v>167</v>
      </c>
      <c r="E74" s="7" t="s">
        <v>16</v>
      </c>
      <c r="F74" s="7" t="s">
        <v>16</v>
      </c>
      <c r="G74" s="7" t="s">
        <v>16</v>
      </c>
      <c r="H74" s="7" t="s">
        <v>16</v>
      </c>
      <c r="I74" s="13">
        <f>18008366666</f>
        <v>18008366666</v>
      </c>
      <c r="J74" s="14" t="s">
        <v>168</v>
      </c>
      <c r="K74" s="7" t="s">
        <v>114</v>
      </c>
      <c r="L74" s="10">
        <v>3.6</v>
      </c>
      <c r="M74" s="10">
        <v>40</v>
      </c>
      <c r="N74" s="8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3.8">
      <c r="A75" s="6">
        <v>74</v>
      </c>
      <c r="B75" s="7" t="s">
        <v>25</v>
      </c>
      <c r="C75" s="7" t="s">
        <v>26</v>
      </c>
      <c r="D75" s="8" t="s">
        <v>169</v>
      </c>
      <c r="E75" s="7" t="s">
        <v>16</v>
      </c>
      <c r="F75" s="7" t="s">
        <v>16</v>
      </c>
      <c r="G75" s="7" t="s">
        <v>16</v>
      </c>
      <c r="H75" s="7" t="s">
        <v>16</v>
      </c>
      <c r="I75" s="13">
        <f>13323319247</f>
        <v>13323319247</v>
      </c>
      <c r="J75" s="14" t="s">
        <v>170</v>
      </c>
      <c r="K75" s="7" t="s">
        <v>114</v>
      </c>
      <c r="L75" s="10">
        <v>5</v>
      </c>
      <c r="M75" s="10">
        <v>13</v>
      </c>
      <c r="N75" s="8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3.8">
      <c r="A76" s="6">
        <v>75</v>
      </c>
      <c r="B76" s="7" t="s">
        <v>13</v>
      </c>
      <c r="C76" s="7" t="s">
        <v>14</v>
      </c>
      <c r="D76" s="8" t="s">
        <v>171</v>
      </c>
      <c r="E76" s="7" t="s">
        <v>16</v>
      </c>
      <c r="F76" s="7" t="s">
        <v>16</v>
      </c>
      <c r="G76" s="7" t="s">
        <v>16</v>
      </c>
      <c r="H76" s="7" t="s">
        <v>16</v>
      </c>
      <c r="I76" s="13">
        <v>9919524137</v>
      </c>
      <c r="J76" s="14" t="s">
        <v>172</v>
      </c>
      <c r="K76" s="7" t="s">
        <v>61</v>
      </c>
      <c r="L76" s="10">
        <v>3.8</v>
      </c>
      <c r="M76" s="10">
        <v>28</v>
      </c>
      <c r="N76" s="8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3.8">
      <c r="A77" s="6">
        <v>76</v>
      </c>
      <c r="B77" s="7" t="s">
        <v>13</v>
      </c>
      <c r="C77" s="7" t="s">
        <v>14</v>
      </c>
      <c r="D77" s="8" t="s">
        <v>173</v>
      </c>
      <c r="E77" s="7" t="s">
        <v>16</v>
      </c>
      <c r="F77" s="7" t="s">
        <v>16</v>
      </c>
      <c r="G77" s="7" t="s">
        <v>16</v>
      </c>
      <c r="H77" s="7" t="s">
        <v>16</v>
      </c>
      <c r="I77" s="13">
        <v>9415104223</v>
      </c>
      <c r="J77" s="14" t="s">
        <v>174</v>
      </c>
      <c r="K77" s="7" t="s">
        <v>61</v>
      </c>
      <c r="L77" s="10">
        <v>4.4000000000000004</v>
      </c>
      <c r="M77" s="10">
        <v>12</v>
      </c>
      <c r="N77" s="8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3.8">
      <c r="A78" s="6">
        <v>77</v>
      </c>
      <c r="B78" s="7" t="s">
        <v>13</v>
      </c>
      <c r="C78" s="7" t="s">
        <v>14</v>
      </c>
      <c r="D78" s="8" t="s">
        <v>175</v>
      </c>
      <c r="E78" s="7" t="s">
        <v>16</v>
      </c>
      <c r="F78" s="7" t="s">
        <v>16</v>
      </c>
      <c r="G78" s="7" t="s">
        <v>16</v>
      </c>
      <c r="H78" s="7" t="s">
        <v>16</v>
      </c>
      <c r="I78" s="13">
        <v>8081758681</v>
      </c>
      <c r="J78" s="14" t="s">
        <v>176</v>
      </c>
      <c r="K78" s="7" t="s">
        <v>61</v>
      </c>
      <c r="L78" s="10">
        <v>4.3</v>
      </c>
      <c r="M78" s="10">
        <v>14</v>
      </c>
      <c r="N78" s="8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3.8">
      <c r="A79" s="6">
        <v>78</v>
      </c>
      <c r="B79" s="7" t="s">
        <v>13</v>
      </c>
      <c r="C79" s="7" t="s">
        <v>14</v>
      </c>
      <c r="D79" s="8" t="s">
        <v>177</v>
      </c>
      <c r="E79" s="7" t="s">
        <v>16</v>
      </c>
      <c r="F79" s="7" t="s">
        <v>16</v>
      </c>
      <c r="G79" s="7" t="s">
        <v>16</v>
      </c>
      <c r="H79" s="7" t="s">
        <v>16</v>
      </c>
      <c r="I79" s="13">
        <v>9721050077</v>
      </c>
      <c r="J79" s="14" t="s">
        <v>178</v>
      </c>
      <c r="K79" s="7" t="s">
        <v>61</v>
      </c>
      <c r="L79" s="10">
        <v>4.3</v>
      </c>
      <c r="M79" s="10">
        <v>285</v>
      </c>
      <c r="N79" s="8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3.8">
      <c r="A80" s="6">
        <v>79</v>
      </c>
      <c r="B80" s="7" t="s">
        <v>13</v>
      </c>
      <c r="C80" s="7" t="s">
        <v>14</v>
      </c>
      <c r="D80" s="8" t="s">
        <v>179</v>
      </c>
      <c r="E80" s="7" t="s">
        <v>16</v>
      </c>
      <c r="F80" s="7" t="s">
        <v>16</v>
      </c>
      <c r="G80" s="7" t="s">
        <v>16</v>
      </c>
      <c r="H80" s="7" t="s">
        <v>16</v>
      </c>
      <c r="I80" s="13">
        <v>9451197467</v>
      </c>
      <c r="J80" s="9" t="s">
        <v>180</v>
      </c>
      <c r="K80" s="7" t="s">
        <v>56</v>
      </c>
      <c r="L80" s="10">
        <v>3.8</v>
      </c>
      <c r="M80" s="10">
        <v>311</v>
      </c>
      <c r="N80" s="8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3.8">
      <c r="A81" s="6">
        <v>80</v>
      </c>
      <c r="B81" s="7" t="s">
        <v>13</v>
      </c>
      <c r="C81" s="7" t="s">
        <v>14</v>
      </c>
      <c r="D81" s="12" t="s">
        <v>181</v>
      </c>
      <c r="E81" s="7" t="s">
        <v>16</v>
      </c>
      <c r="F81" s="7" t="s">
        <v>16</v>
      </c>
      <c r="G81" s="7" t="s">
        <v>16</v>
      </c>
      <c r="H81" s="7" t="s">
        <v>16</v>
      </c>
      <c r="I81" s="13">
        <v>9044666666</v>
      </c>
      <c r="J81" s="9" t="s">
        <v>182</v>
      </c>
      <c r="K81" s="7" t="s">
        <v>56</v>
      </c>
      <c r="L81" s="10">
        <v>4.0999999999999996</v>
      </c>
      <c r="M81" s="10">
        <v>500</v>
      </c>
      <c r="N81" s="12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3.8">
      <c r="A82" s="6">
        <v>81</v>
      </c>
      <c r="B82" s="7" t="s">
        <v>13</v>
      </c>
      <c r="C82" s="7" t="s">
        <v>14</v>
      </c>
      <c r="D82" s="8" t="s">
        <v>183</v>
      </c>
      <c r="E82" s="7" t="s">
        <v>16</v>
      </c>
      <c r="F82" s="7" t="s">
        <v>16</v>
      </c>
      <c r="G82" s="7" t="s">
        <v>16</v>
      </c>
      <c r="H82" s="7" t="s">
        <v>16</v>
      </c>
      <c r="I82" s="13">
        <v>6394064977</v>
      </c>
      <c r="J82" s="9" t="s">
        <v>184</v>
      </c>
      <c r="K82" s="7" t="s">
        <v>56</v>
      </c>
      <c r="L82" s="10">
        <v>4.2</v>
      </c>
      <c r="M82" s="10">
        <v>109</v>
      </c>
      <c r="N82" s="8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3.8">
      <c r="A83" s="6">
        <v>82</v>
      </c>
      <c r="B83" s="7" t="s">
        <v>13</v>
      </c>
      <c r="C83" s="7" t="s">
        <v>14</v>
      </c>
      <c r="D83" s="8" t="s">
        <v>185</v>
      </c>
      <c r="E83" s="7" t="s">
        <v>16</v>
      </c>
      <c r="F83" s="7" t="s">
        <v>16</v>
      </c>
      <c r="G83" s="7" t="s">
        <v>16</v>
      </c>
      <c r="H83" s="7" t="s">
        <v>16</v>
      </c>
      <c r="I83" s="13">
        <v>8318681494</v>
      </c>
      <c r="J83" s="9" t="s">
        <v>186</v>
      </c>
      <c r="K83" s="7" t="s">
        <v>56</v>
      </c>
      <c r="L83" s="10">
        <v>4.5999999999999996</v>
      </c>
      <c r="M83" s="10">
        <v>10</v>
      </c>
      <c r="N83" s="8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3.8">
      <c r="A84" s="6">
        <v>83</v>
      </c>
      <c r="B84" s="7" t="s">
        <v>13</v>
      </c>
      <c r="C84" s="7" t="s">
        <v>14</v>
      </c>
      <c r="D84" s="8" t="s">
        <v>187</v>
      </c>
      <c r="E84" s="7" t="s">
        <v>16</v>
      </c>
      <c r="F84" s="7" t="s">
        <v>16</v>
      </c>
      <c r="G84" s="7" t="s">
        <v>16</v>
      </c>
      <c r="H84" s="7" t="s">
        <v>16</v>
      </c>
      <c r="I84" s="13">
        <v>9807255215</v>
      </c>
      <c r="J84" s="9" t="s">
        <v>188</v>
      </c>
      <c r="K84" s="7" t="s">
        <v>56</v>
      </c>
      <c r="L84" s="10">
        <v>4.0999999999999996</v>
      </c>
      <c r="M84" s="10">
        <v>490</v>
      </c>
      <c r="N84" s="8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3.8">
      <c r="A85" s="6">
        <v>84</v>
      </c>
      <c r="B85" s="7" t="s">
        <v>13</v>
      </c>
      <c r="C85" s="7" t="s">
        <v>14</v>
      </c>
      <c r="D85" s="8" t="s">
        <v>189</v>
      </c>
      <c r="E85" s="7" t="s">
        <v>16</v>
      </c>
      <c r="F85" s="7" t="s">
        <v>16</v>
      </c>
      <c r="G85" s="7" t="s">
        <v>16</v>
      </c>
      <c r="H85" s="7" t="s">
        <v>16</v>
      </c>
      <c r="I85" s="13">
        <v>9415919651</v>
      </c>
      <c r="J85" s="9" t="s">
        <v>190</v>
      </c>
      <c r="K85" s="7" t="s">
        <v>56</v>
      </c>
      <c r="L85" s="10">
        <v>4.2</v>
      </c>
      <c r="M85" s="10">
        <v>383</v>
      </c>
      <c r="N85" s="8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3.8">
      <c r="A86" s="6">
        <v>85</v>
      </c>
      <c r="B86" s="7" t="s">
        <v>13</v>
      </c>
      <c r="C86" s="7" t="s">
        <v>14</v>
      </c>
      <c r="D86" s="8" t="s">
        <v>191</v>
      </c>
      <c r="E86" s="7" t="s">
        <v>16</v>
      </c>
      <c r="F86" s="7" t="s">
        <v>16</v>
      </c>
      <c r="G86" s="7" t="s">
        <v>16</v>
      </c>
      <c r="H86" s="7" t="s">
        <v>16</v>
      </c>
      <c r="I86" s="13">
        <v>9918391660</v>
      </c>
      <c r="J86" s="9" t="s">
        <v>192</v>
      </c>
      <c r="K86" s="7" t="s">
        <v>56</v>
      </c>
      <c r="L86" s="10">
        <v>4.2</v>
      </c>
      <c r="M86" s="10">
        <v>93</v>
      </c>
      <c r="N86" s="8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3.8">
      <c r="A87" s="6">
        <v>86</v>
      </c>
      <c r="B87" s="7" t="s">
        <v>13</v>
      </c>
      <c r="C87" s="7" t="s">
        <v>14</v>
      </c>
      <c r="D87" s="8" t="s">
        <v>193</v>
      </c>
      <c r="E87" s="7" t="s">
        <v>16</v>
      </c>
      <c r="F87" s="7" t="s">
        <v>16</v>
      </c>
      <c r="G87" s="7" t="s">
        <v>16</v>
      </c>
      <c r="H87" s="7" t="s">
        <v>16</v>
      </c>
      <c r="I87" s="13">
        <v>5222304184</v>
      </c>
      <c r="J87" s="9" t="s">
        <v>194</v>
      </c>
      <c r="K87" s="7" t="s">
        <v>56</v>
      </c>
      <c r="L87" s="10">
        <v>3.9</v>
      </c>
      <c r="M87" s="10">
        <v>401</v>
      </c>
      <c r="N87" s="8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3.8">
      <c r="A88" s="6">
        <v>87</v>
      </c>
      <c r="B88" s="7" t="s">
        <v>13</v>
      </c>
      <c r="C88" s="7" t="s">
        <v>14</v>
      </c>
      <c r="D88" s="8" t="s">
        <v>195</v>
      </c>
      <c r="E88" s="7" t="s">
        <v>16</v>
      </c>
      <c r="F88" s="7" t="s">
        <v>16</v>
      </c>
      <c r="G88" s="7" t="s">
        <v>16</v>
      </c>
      <c r="H88" s="7" t="s">
        <v>16</v>
      </c>
      <c r="I88" s="13">
        <v>9889339393</v>
      </c>
      <c r="J88" s="9" t="s">
        <v>196</v>
      </c>
      <c r="K88" s="7" t="s">
        <v>56</v>
      </c>
      <c r="L88" s="10">
        <v>4.8</v>
      </c>
      <c r="M88" s="10">
        <v>5</v>
      </c>
      <c r="N88" s="8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3.8">
      <c r="A89" s="6">
        <v>88</v>
      </c>
      <c r="B89" s="7" t="s">
        <v>13</v>
      </c>
      <c r="C89" s="7" t="s">
        <v>14</v>
      </c>
      <c r="D89" s="8" t="s">
        <v>197</v>
      </c>
      <c r="E89" s="7" t="s">
        <v>16</v>
      </c>
      <c r="F89" s="7" t="s">
        <v>16</v>
      </c>
      <c r="G89" s="7" t="s">
        <v>16</v>
      </c>
      <c r="H89" s="7" t="s">
        <v>16</v>
      </c>
      <c r="I89" s="13">
        <v>9919379466</v>
      </c>
      <c r="J89" s="9" t="s">
        <v>198</v>
      </c>
      <c r="K89" s="7" t="s">
        <v>56</v>
      </c>
      <c r="L89" s="10">
        <v>3.8</v>
      </c>
      <c r="M89" s="10">
        <v>212</v>
      </c>
      <c r="N89" s="8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3.8">
      <c r="A90" s="6">
        <v>89</v>
      </c>
      <c r="B90" s="7" t="s">
        <v>13</v>
      </c>
      <c r="C90" s="7" t="s">
        <v>14</v>
      </c>
      <c r="D90" s="8" t="s">
        <v>199</v>
      </c>
      <c r="E90" s="7" t="s">
        <v>16</v>
      </c>
      <c r="F90" s="7" t="s">
        <v>16</v>
      </c>
      <c r="G90" s="7" t="s">
        <v>16</v>
      </c>
      <c r="H90" s="7" t="s">
        <v>16</v>
      </c>
      <c r="I90" s="13">
        <v>9839703487</v>
      </c>
      <c r="J90" s="9" t="s">
        <v>200</v>
      </c>
      <c r="K90" s="7" t="s">
        <v>56</v>
      </c>
      <c r="L90" s="10">
        <v>4.5999999999999996</v>
      </c>
      <c r="M90" s="10">
        <v>15</v>
      </c>
      <c r="N90" s="8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3.8">
      <c r="A91" s="6">
        <v>90</v>
      </c>
      <c r="B91" s="7" t="s">
        <v>25</v>
      </c>
      <c r="C91" s="7" t="s">
        <v>26</v>
      </c>
      <c r="D91" s="8" t="s">
        <v>201</v>
      </c>
      <c r="E91" s="7" t="s">
        <v>16</v>
      </c>
      <c r="F91" s="7" t="s">
        <v>16</v>
      </c>
      <c r="G91" s="7" t="s">
        <v>16</v>
      </c>
      <c r="H91" s="7" t="s">
        <v>16</v>
      </c>
      <c r="I91" s="13">
        <f>19184427243</f>
        <v>19184427243</v>
      </c>
      <c r="J91" s="14" t="s">
        <v>202</v>
      </c>
      <c r="K91" s="7" t="s">
        <v>114</v>
      </c>
      <c r="L91" s="10">
        <v>5</v>
      </c>
      <c r="M91" s="10">
        <v>10</v>
      </c>
      <c r="N91" s="8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3.8">
      <c r="A92" s="6">
        <v>91</v>
      </c>
      <c r="B92" s="7" t="s">
        <v>25</v>
      </c>
      <c r="C92" s="7" t="s">
        <v>26</v>
      </c>
      <c r="D92" s="8" t="s">
        <v>203</v>
      </c>
      <c r="E92" s="7" t="s">
        <v>16</v>
      </c>
      <c r="F92" s="7" t="s">
        <v>16</v>
      </c>
      <c r="G92" s="7" t="s">
        <v>16</v>
      </c>
      <c r="H92" s="7" t="s">
        <v>16</v>
      </c>
      <c r="I92" s="13">
        <f>12122498960</f>
        <v>12122498960</v>
      </c>
      <c r="J92" s="14" t="s">
        <v>204</v>
      </c>
      <c r="K92" s="7" t="s">
        <v>114</v>
      </c>
      <c r="L92" s="10">
        <v>1.9</v>
      </c>
      <c r="M92" s="10">
        <v>8</v>
      </c>
      <c r="N92" s="8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3.8">
      <c r="A93" s="6">
        <v>92</v>
      </c>
      <c r="B93" s="7" t="s">
        <v>25</v>
      </c>
      <c r="C93" s="7" t="s">
        <v>26</v>
      </c>
      <c r="D93" s="8" t="s">
        <v>205</v>
      </c>
      <c r="E93" s="7" t="s">
        <v>16</v>
      </c>
      <c r="F93" s="7" t="s">
        <v>16</v>
      </c>
      <c r="G93" s="7" t="s">
        <v>16</v>
      </c>
      <c r="H93" s="7" t="s">
        <v>16</v>
      </c>
      <c r="I93" s="13">
        <f>17186398129</f>
        <v>17186398129</v>
      </c>
      <c r="J93" s="14" t="s">
        <v>206</v>
      </c>
      <c r="K93" s="7" t="s">
        <v>114</v>
      </c>
      <c r="L93" s="10">
        <v>3.8</v>
      </c>
      <c r="M93" s="10">
        <v>28</v>
      </c>
      <c r="N93" s="8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3.8">
      <c r="A94" s="6">
        <v>93</v>
      </c>
      <c r="B94" s="7" t="s">
        <v>25</v>
      </c>
      <c r="C94" s="7" t="s">
        <v>26</v>
      </c>
      <c r="D94" s="8" t="s">
        <v>207</v>
      </c>
      <c r="E94" s="7" t="s">
        <v>16</v>
      </c>
      <c r="F94" s="7" t="s">
        <v>16</v>
      </c>
      <c r="G94" s="7" t="s">
        <v>16</v>
      </c>
      <c r="H94" s="7" t="s">
        <v>16</v>
      </c>
      <c r="I94" s="13">
        <f>12122193413</f>
        <v>12122193413</v>
      </c>
      <c r="J94" s="9" t="s">
        <v>208</v>
      </c>
      <c r="K94" s="7" t="s">
        <v>114</v>
      </c>
      <c r="L94" s="10">
        <v>3.1</v>
      </c>
      <c r="M94" s="10">
        <v>17</v>
      </c>
      <c r="N94" s="8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3.8">
      <c r="A95" s="6">
        <v>94</v>
      </c>
      <c r="B95" s="7" t="s">
        <v>25</v>
      </c>
      <c r="C95" s="7" t="s">
        <v>26</v>
      </c>
      <c r="D95" s="8" t="s">
        <v>209</v>
      </c>
      <c r="E95" s="7" t="s">
        <v>16</v>
      </c>
      <c r="F95" s="7" t="s">
        <v>16</v>
      </c>
      <c r="G95" s="7" t="s">
        <v>16</v>
      </c>
      <c r="H95" s="7" t="s">
        <v>16</v>
      </c>
      <c r="I95" s="13">
        <f>12123217500</f>
        <v>12123217500</v>
      </c>
      <c r="J95" s="9" t="s">
        <v>210</v>
      </c>
      <c r="K95" s="7" t="s">
        <v>114</v>
      </c>
      <c r="L95" s="10">
        <v>3.6</v>
      </c>
      <c r="M95" s="10">
        <v>26</v>
      </c>
      <c r="N95" s="8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3.8">
      <c r="A96" s="6">
        <v>95</v>
      </c>
      <c r="B96" s="7" t="s">
        <v>13</v>
      </c>
      <c r="C96" s="7" t="s">
        <v>14</v>
      </c>
      <c r="D96" s="8" t="s">
        <v>211</v>
      </c>
      <c r="E96" s="7" t="s">
        <v>16</v>
      </c>
      <c r="F96" s="7" t="s">
        <v>16</v>
      </c>
      <c r="G96" s="7" t="s">
        <v>16</v>
      </c>
      <c r="H96" s="7" t="s">
        <v>16</v>
      </c>
      <c r="I96" s="13">
        <v>8808790704</v>
      </c>
      <c r="J96" s="14" t="s">
        <v>212</v>
      </c>
      <c r="K96" s="7" t="s">
        <v>213</v>
      </c>
      <c r="L96" s="10">
        <v>4.5999999999999996</v>
      </c>
      <c r="M96" s="10">
        <v>7</v>
      </c>
      <c r="N96" s="8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3.8">
      <c r="A97" s="6">
        <v>96</v>
      </c>
      <c r="B97" s="7" t="s">
        <v>13</v>
      </c>
      <c r="C97" s="7" t="s">
        <v>14</v>
      </c>
      <c r="D97" s="8" t="s">
        <v>214</v>
      </c>
      <c r="E97" s="7" t="s">
        <v>16</v>
      </c>
      <c r="F97" s="7" t="s">
        <v>16</v>
      </c>
      <c r="G97" s="7" t="s">
        <v>16</v>
      </c>
      <c r="H97" s="7" t="s">
        <v>16</v>
      </c>
      <c r="I97" s="13">
        <v>9415479060</v>
      </c>
      <c r="J97" s="14" t="s">
        <v>215</v>
      </c>
      <c r="K97" s="7" t="s">
        <v>213</v>
      </c>
      <c r="L97" s="10">
        <v>4</v>
      </c>
      <c r="M97" s="10">
        <v>62</v>
      </c>
      <c r="N97" s="8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3.8">
      <c r="A98" s="6">
        <v>97</v>
      </c>
      <c r="B98" s="7" t="s">
        <v>13</v>
      </c>
      <c r="C98" s="7" t="s">
        <v>14</v>
      </c>
      <c r="D98" s="8" t="s">
        <v>216</v>
      </c>
      <c r="E98" s="7" t="s">
        <v>16</v>
      </c>
      <c r="F98" s="7" t="s">
        <v>16</v>
      </c>
      <c r="G98" s="7" t="s">
        <v>16</v>
      </c>
      <c r="H98" s="7" t="s">
        <v>16</v>
      </c>
      <c r="I98" s="13">
        <v>9389131446</v>
      </c>
      <c r="J98" s="14" t="s">
        <v>217</v>
      </c>
      <c r="K98" s="7" t="s">
        <v>213</v>
      </c>
      <c r="L98" s="10">
        <v>2.8</v>
      </c>
      <c r="M98" s="10">
        <v>11</v>
      </c>
      <c r="N98" s="8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3.8">
      <c r="A99" s="6">
        <v>98</v>
      </c>
      <c r="B99" s="7" t="s">
        <v>13</v>
      </c>
      <c r="C99" s="7" t="s">
        <v>14</v>
      </c>
      <c r="D99" s="8" t="s">
        <v>218</v>
      </c>
      <c r="E99" s="7" t="s">
        <v>16</v>
      </c>
      <c r="F99" s="7" t="s">
        <v>16</v>
      </c>
      <c r="G99" s="7" t="s">
        <v>16</v>
      </c>
      <c r="H99" s="7" t="s">
        <v>16</v>
      </c>
      <c r="I99" s="13">
        <v>8299803513</v>
      </c>
      <c r="J99" s="14" t="s">
        <v>219</v>
      </c>
      <c r="K99" s="7" t="s">
        <v>213</v>
      </c>
      <c r="L99" s="10">
        <v>2.5</v>
      </c>
      <c r="M99" s="10">
        <v>44</v>
      </c>
      <c r="N99" s="8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3.8">
      <c r="A100" s="6">
        <v>99</v>
      </c>
      <c r="B100" s="7" t="s">
        <v>13</v>
      </c>
      <c r="C100" s="7" t="s">
        <v>14</v>
      </c>
      <c r="D100" s="8" t="s">
        <v>220</v>
      </c>
      <c r="E100" s="7" t="s">
        <v>16</v>
      </c>
      <c r="F100" s="7" t="s">
        <v>16</v>
      </c>
      <c r="G100" s="7" t="s">
        <v>16</v>
      </c>
      <c r="H100" s="7" t="s">
        <v>16</v>
      </c>
      <c r="I100" s="13">
        <v>9648847747</v>
      </c>
      <c r="J100" s="14" t="s">
        <v>221</v>
      </c>
      <c r="K100" s="7" t="s">
        <v>213</v>
      </c>
      <c r="L100" s="10">
        <v>4.3</v>
      </c>
      <c r="M100" s="10">
        <v>15</v>
      </c>
      <c r="N100" s="8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3.8">
      <c r="A101" s="6">
        <v>100</v>
      </c>
      <c r="B101" s="7" t="s">
        <v>13</v>
      </c>
      <c r="C101" s="7" t="s">
        <v>14</v>
      </c>
      <c r="D101" s="8" t="s">
        <v>222</v>
      </c>
      <c r="E101" s="7" t="s">
        <v>16</v>
      </c>
      <c r="F101" s="7" t="s">
        <v>16</v>
      </c>
      <c r="G101" s="7" t="s">
        <v>16</v>
      </c>
      <c r="H101" s="7" t="s">
        <v>16</v>
      </c>
      <c r="I101" s="13">
        <v>5224002552</v>
      </c>
      <c r="J101" s="9" t="s">
        <v>223</v>
      </c>
      <c r="K101" s="7" t="s">
        <v>213</v>
      </c>
      <c r="L101" s="10">
        <v>4.3</v>
      </c>
      <c r="M101" s="10">
        <v>419</v>
      </c>
      <c r="N101" s="8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3.8">
      <c r="A102" s="6">
        <v>101</v>
      </c>
      <c r="B102" s="7" t="s">
        <v>13</v>
      </c>
      <c r="C102" s="7" t="s">
        <v>14</v>
      </c>
      <c r="D102" s="8" t="s">
        <v>224</v>
      </c>
      <c r="E102" s="7" t="s">
        <v>16</v>
      </c>
      <c r="F102" s="7" t="s">
        <v>16</v>
      </c>
      <c r="G102" s="7" t="s">
        <v>16</v>
      </c>
      <c r="H102" s="7" t="s">
        <v>16</v>
      </c>
      <c r="I102" s="6">
        <v>9336383722</v>
      </c>
      <c r="J102" s="9" t="s">
        <v>225</v>
      </c>
      <c r="K102" s="7" t="s">
        <v>213</v>
      </c>
      <c r="L102" s="10">
        <v>4.2</v>
      </c>
      <c r="M102" s="10">
        <v>550</v>
      </c>
      <c r="N102" s="8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3.8">
      <c r="A103" s="6">
        <v>102</v>
      </c>
      <c r="B103" s="7" t="s">
        <v>13</v>
      </c>
      <c r="C103" s="7" t="s">
        <v>14</v>
      </c>
      <c r="D103" s="8" t="s">
        <v>226</v>
      </c>
      <c r="E103" s="7" t="s">
        <v>16</v>
      </c>
      <c r="F103" s="7" t="s">
        <v>16</v>
      </c>
      <c r="G103" s="7" t="s">
        <v>16</v>
      </c>
      <c r="H103" s="7" t="s">
        <v>16</v>
      </c>
      <c r="I103" s="6">
        <v>9235404869</v>
      </c>
      <c r="J103" s="9" t="s">
        <v>227</v>
      </c>
      <c r="K103" s="7" t="s">
        <v>213</v>
      </c>
      <c r="L103" s="10">
        <v>4.9000000000000004</v>
      </c>
      <c r="M103" s="10">
        <v>146</v>
      </c>
      <c r="N103" s="8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3.8">
      <c r="A104" s="6">
        <v>103</v>
      </c>
      <c r="B104" s="7" t="s">
        <v>13</v>
      </c>
      <c r="C104" s="7" t="s">
        <v>14</v>
      </c>
      <c r="D104" s="8" t="s">
        <v>228</v>
      </c>
      <c r="E104" s="7" t="s">
        <v>16</v>
      </c>
      <c r="F104" s="7" t="s">
        <v>16</v>
      </c>
      <c r="G104" s="7" t="s">
        <v>16</v>
      </c>
      <c r="H104" s="7" t="s">
        <v>16</v>
      </c>
      <c r="I104" s="6">
        <v>8874474455</v>
      </c>
      <c r="J104" s="9" t="s">
        <v>229</v>
      </c>
      <c r="K104" s="7" t="s">
        <v>213</v>
      </c>
      <c r="L104" s="10">
        <v>4</v>
      </c>
      <c r="M104" s="10">
        <v>1920</v>
      </c>
      <c r="N104" s="8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3.8">
      <c r="A105" s="6">
        <v>104</v>
      </c>
      <c r="B105" s="7" t="s">
        <v>13</v>
      </c>
      <c r="C105" s="7" t="s">
        <v>14</v>
      </c>
      <c r="D105" s="8" t="s">
        <v>230</v>
      </c>
      <c r="E105" s="7" t="s">
        <v>16</v>
      </c>
      <c r="F105" s="7" t="s">
        <v>16</v>
      </c>
      <c r="G105" s="7" t="s">
        <v>16</v>
      </c>
      <c r="H105" s="7" t="s">
        <v>16</v>
      </c>
      <c r="I105" s="6">
        <v>9170026504</v>
      </c>
      <c r="J105" s="9" t="s">
        <v>231</v>
      </c>
      <c r="K105" s="7" t="s">
        <v>213</v>
      </c>
      <c r="L105" s="10">
        <v>5</v>
      </c>
      <c r="M105" s="10">
        <v>37</v>
      </c>
      <c r="N105" s="8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3.8">
      <c r="A106" s="6">
        <v>105</v>
      </c>
      <c r="B106" s="7" t="s">
        <v>13</v>
      </c>
      <c r="C106" s="7" t="s">
        <v>14</v>
      </c>
      <c r="D106" s="8" t="s">
        <v>232</v>
      </c>
      <c r="E106" s="7" t="s">
        <v>16</v>
      </c>
      <c r="F106" s="7" t="s">
        <v>16</v>
      </c>
      <c r="G106" s="7" t="s">
        <v>16</v>
      </c>
      <c r="H106" s="7" t="s">
        <v>16</v>
      </c>
      <c r="I106" s="6">
        <v>7607491101</v>
      </c>
      <c r="J106" s="9" t="s">
        <v>233</v>
      </c>
      <c r="K106" s="7" t="s">
        <v>213</v>
      </c>
      <c r="L106" s="10">
        <v>4.9000000000000004</v>
      </c>
      <c r="M106" s="10">
        <v>97</v>
      </c>
      <c r="N106" s="8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3.8">
      <c r="A107" s="6">
        <v>106</v>
      </c>
      <c r="B107" s="7" t="s">
        <v>13</v>
      </c>
      <c r="C107" s="7" t="s">
        <v>14</v>
      </c>
      <c r="D107" s="8" t="s">
        <v>234</v>
      </c>
      <c r="E107" s="7" t="s">
        <v>16</v>
      </c>
      <c r="F107" s="7" t="s">
        <v>16</v>
      </c>
      <c r="G107" s="7" t="s">
        <v>16</v>
      </c>
      <c r="H107" s="7" t="s">
        <v>16</v>
      </c>
      <c r="I107" s="6">
        <v>8174943200</v>
      </c>
      <c r="J107" s="9" t="s">
        <v>235</v>
      </c>
      <c r="K107" s="7" t="s">
        <v>213</v>
      </c>
      <c r="L107" s="10">
        <v>4.5</v>
      </c>
      <c r="M107" s="10">
        <v>104</v>
      </c>
      <c r="N107" s="8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3.8">
      <c r="A108" s="6">
        <v>107</v>
      </c>
      <c r="B108" s="7" t="s">
        <v>13</v>
      </c>
      <c r="C108" s="7" t="s">
        <v>14</v>
      </c>
      <c r="D108" s="8" t="s">
        <v>236</v>
      </c>
      <c r="E108" s="7" t="s">
        <v>16</v>
      </c>
      <c r="F108" s="7" t="s">
        <v>16</v>
      </c>
      <c r="G108" s="7" t="s">
        <v>16</v>
      </c>
      <c r="H108" s="7" t="s">
        <v>16</v>
      </c>
      <c r="I108" s="6">
        <v>8318846600</v>
      </c>
      <c r="J108" s="9" t="s">
        <v>237</v>
      </c>
      <c r="K108" s="7" t="s">
        <v>213</v>
      </c>
      <c r="L108" s="10">
        <v>4.7</v>
      </c>
      <c r="M108" s="10">
        <v>85</v>
      </c>
      <c r="N108" s="8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3.8">
      <c r="A109" s="6">
        <v>108</v>
      </c>
      <c r="B109" s="7" t="s">
        <v>13</v>
      </c>
      <c r="C109" s="7" t="s">
        <v>14</v>
      </c>
      <c r="D109" s="8" t="s">
        <v>238</v>
      </c>
      <c r="E109" s="7" t="s">
        <v>16</v>
      </c>
      <c r="F109" s="7" t="s">
        <v>16</v>
      </c>
      <c r="G109" s="7" t="s">
        <v>16</v>
      </c>
      <c r="H109" s="7" t="s">
        <v>16</v>
      </c>
      <c r="I109" s="6">
        <v>7007786520</v>
      </c>
      <c r="J109" s="9" t="s">
        <v>239</v>
      </c>
      <c r="K109" s="7" t="s">
        <v>213</v>
      </c>
      <c r="L109" s="10">
        <v>4.9000000000000004</v>
      </c>
      <c r="M109" s="10">
        <v>34</v>
      </c>
      <c r="N109" s="8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3.8">
      <c r="A110" s="6">
        <v>109</v>
      </c>
      <c r="B110" s="7" t="s">
        <v>25</v>
      </c>
      <c r="C110" s="7" t="s">
        <v>26</v>
      </c>
      <c r="D110" s="8" t="s">
        <v>240</v>
      </c>
      <c r="E110" s="7" t="s">
        <v>16</v>
      </c>
      <c r="F110" s="7" t="s">
        <v>16</v>
      </c>
      <c r="G110" s="7" t="s">
        <v>16</v>
      </c>
      <c r="H110" s="7" t="s">
        <v>16</v>
      </c>
      <c r="I110" s="13">
        <f>12127220762</f>
        <v>12127220762</v>
      </c>
      <c r="J110" s="14" t="s">
        <v>241</v>
      </c>
      <c r="K110" s="7" t="s">
        <v>242</v>
      </c>
      <c r="L110" s="10">
        <v>4</v>
      </c>
      <c r="M110" s="10">
        <v>5</v>
      </c>
      <c r="N110" s="8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3.8">
      <c r="A111" s="6">
        <v>110</v>
      </c>
      <c r="B111" s="7" t="s">
        <v>25</v>
      </c>
      <c r="C111" s="7" t="s">
        <v>26</v>
      </c>
      <c r="D111" s="8" t="s">
        <v>243</v>
      </c>
      <c r="E111" s="7" t="s">
        <v>16</v>
      </c>
      <c r="F111" s="7" t="s">
        <v>16</v>
      </c>
      <c r="G111" s="7" t="s">
        <v>16</v>
      </c>
      <c r="H111" s="7" t="s">
        <v>16</v>
      </c>
      <c r="I111" s="13">
        <f>13476831124</f>
        <v>13476831124</v>
      </c>
      <c r="J111" s="14" t="s">
        <v>244</v>
      </c>
      <c r="K111" s="7" t="s">
        <v>242</v>
      </c>
      <c r="L111" s="10">
        <v>4.5</v>
      </c>
      <c r="M111" s="10">
        <v>23</v>
      </c>
      <c r="N111" s="8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3.8">
      <c r="A112" s="6">
        <v>111</v>
      </c>
      <c r="B112" s="7" t="s">
        <v>25</v>
      </c>
      <c r="C112" s="7" t="s">
        <v>26</v>
      </c>
      <c r="D112" s="8" t="s">
        <v>245</v>
      </c>
      <c r="E112" s="7" t="s">
        <v>16</v>
      </c>
      <c r="F112" s="7" t="s">
        <v>16</v>
      </c>
      <c r="G112" s="7" t="s">
        <v>16</v>
      </c>
      <c r="H112" s="7" t="s">
        <v>16</v>
      </c>
      <c r="I112" s="13">
        <f>12123962210</f>
        <v>12123962210</v>
      </c>
      <c r="J112" s="14" t="s">
        <v>246</v>
      </c>
      <c r="K112" s="7" t="s">
        <v>242</v>
      </c>
      <c r="L112" s="10">
        <v>3.9</v>
      </c>
      <c r="M112" s="10">
        <v>7</v>
      </c>
      <c r="N112" s="8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3.8">
      <c r="A113" s="6">
        <v>112</v>
      </c>
      <c r="B113" s="7" t="s">
        <v>25</v>
      </c>
      <c r="C113" s="7" t="s">
        <v>26</v>
      </c>
      <c r="D113" s="8" t="s">
        <v>247</v>
      </c>
      <c r="E113" s="7" t="s">
        <v>16</v>
      </c>
      <c r="F113" s="7" t="s">
        <v>16</v>
      </c>
      <c r="G113" s="7" t="s">
        <v>16</v>
      </c>
      <c r="H113" s="7" t="s">
        <v>16</v>
      </c>
      <c r="I113" s="13">
        <f>12122886035</f>
        <v>12122886035</v>
      </c>
      <c r="J113" s="14" t="s">
        <v>248</v>
      </c>
      <c r="K113" s="7" t="s">
        <v>242</v>
      </c>
      <c r="L113" s="10">
        <v>4.0999999999999996</v>
      </c>
      <c r="M113" s="10">
        <v>15</v>
      </c>
      <c r="N113" s="8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3.8">
      <c r="A114" s="6">
        <v>113</v>
      </c>
      <c r="B114" s="7" t="s">
        <v>25</v>
      </c>
      <c r="C114" s="7" t="s">
        <v>26</v>
      </c>
      <c r="D114" s="8" t="s">
        <v>249</v>
      </c>
      <c r="E114" s="7" t="s">
        <v>16</v>
      </c>
      <c r="F114" s="7" t="s">
        <v>16</v>
      </c>
      <c r="G114" s="7" t="s">
        <v>16</v>
      </c>
      <c r="H114" s="7" t="s">
        <v>16</v>
      </c>
      <c r="I114" s="13">
        <f>16465245166</f>
        <v>16465245166</v>
      </c>
      <c r="J114" s="14" t="s">
        <v>250</v>
      </c>
      <c r="K114" s="7" t="s">
        <v>242</v>
      </c>
      <c r="L114" s="10">
        <v>4.0999999999999996</v>
      </c>
      <c r="M114" s="10">
        <v>30</v>
      </c>
      <c r="N114" s="8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3.8">
      <c r="A115" s="6">
        <v>114</v>
      </c>
      <c r="B115" s="7" t="s">
        <v>13</v>
      </c>
      <c r="C115" s="7" t="s">
        <v>14</v>
      </c>
      <c r="D115" s="8" t="s">
        <v>251</v>
      </c>
      <c r="E115" s="7" t="s">
        <v>16</v>
      </c>
      <c r="F115" s="7" t="s">
        <v>16</v>
      </c>
      <c r="G115" s="7" t="s">
        <v>16</v>
      </c>
      <c r="H115" s="7" t="s">
        <v>16</v>
      </c>
      <c r="I115" s="13">
        <v>5222611484</v>
      </c>
      <c r="J115" s="14" t="s">
        <v>252</v>
      </c>
      <c r="K115" s="7" t="s">
        <v>56</v>
      </c>
      <c r="L115" s="10">
        <v>3.9</v>
      </c>
      <c r="M115" s="10">
        <v>37</v>
      </c>
      <c r="N115" s="8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3.8">
      <c r="A116" s="6">
        <v>115</v>
      </c>
      <c r="B116" s="7" t="s">
        <v>13</v>
      </c>
      <c r="C116" s="7" t="s">
        <v>14</v>
      </c>
      <c r="D116" s="8" t="s">
        <v>253</v>
      </c>
      <c r="E116" s="7" t="s">
        <v>16</v>
      </c>
      <c r="F116" s="7" t="s">
        <v>16</v>
      </c>
      <c r="G116" s="7" t="s">
        <v>16</v>
      </c>
      <c r="H116" s="7" t="s">
        <v>16</v>
      </c>
      <c r="I116" s="13">
        <v>9918330786</v>
      </c>
      <c r="J116" s="14" t="s">
        <v>254</v>
      </c>
      <c r="K116" s="7" t="s">
        <v>56</v>
      </c>
      <c r="L116" s="10">
        <v>4.2</v>
      </c>
      <c r="M116" s="10">
        <v>31</v>
      </c>
      <c r="N116" s="8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3.8">
      <c r="A117" s="6">
        <v>116</v>
      </c>
      <c r="B117" s="7" t="s">
        <v>13</v>
      </c>
      <c r="C117" s="7" t="s">
        <v>14</v>
      </c>
      <c r="D117" s="8" t="s">
        <v>255</v>
      </c>
      <c r="E117" s="7" t="s">
        <v>16</v>
      </c>
      <c r="F117" s="7" t="s">
        <v>16</v>
      </c>
      <c r="G117" s="7" t="s">
        <v>16</v>
      </c>
      <c r="H117" s="7" t="s">
        <v>16</v>
      </c>
      <c r="I117" s="13">
        <v>8881999204</v>
      </c>
      <c r="J117" s="14" t="s">
        <v>256</v>
      </c>
      <c r="K117" s="7" t="s">
        <v>56</v>
      </c>
      <c r="L117" s="10">
        <v>4.4000000000000004</v>
      </c>
      <c r="M117" s="10">
        <v>28</v>
      </c>
      <c r="N117" s="8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3.8">
      <c r="A118" s="6">
        <v>117</v>
      </c>
      <c r="B118" s="7" t="s">
        <v>13</v>
      </c>
      <c r="C118" s="7" t="s">
        <v>14</v>
      </c>
      <c r="D118" s="8" t="s">
        <v>257</v>
      </c>
      <c r="E118" s="7" t="s">
        <v>16</v>
      </c>
      <c r="F118" s="7" t="s">
        <v>16</v>
      </c>
      <c r="G118" s="7" t="s">
        <v>16</v>
      </c>
      <c r="H118" s="7" t="s">
        <v>16</v>
      </c>
      <c r="I118" s="13">
        <v>8960367600</v>
      </c>
      <c r="J118" s="14" t="s">
        <v>258</v>
      </c>
      <c r="K118" s="7" t="s">
        <v>56</v>
      </c>
      <c r="L118" s="10">
        <v>3.9</v>
      </c>
      <c r="M118" s="10">
        <v>170</v>
      </c>
      <c r="N118" s="8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3.8">
      <c r="A119" s="6">
        <v>118</v>
      </c>
      <c r="B119" s="7" t="s">
        <v>13</v>
      </c>
      <c r="C119" s="7" t="s">
        <v>14</v>
      </c>
      <c r="D119" s="8" t="s">
        <v>259</v>
      </c>
      <c r="E119" s="7" t="s">
        <v>16</v>
      </c>
      <c r="F119" s="7" t="s">
        <v>16</v>
      </c>
      <c r="G119" s="7" t="s">
        <v>16</v>
      </c>
      <c r="H119" s="7" t="s">
        <v>16</v>
      </c>
      <c r="I119" s="13">
        <v>9005680925</v>
      </c>
      <c r="J119" s="14" t="s">
        <v>260</v>
      </c>
      <c r="K119" s="7" t="s">
        <v>56</v>
      </c>
      <c r="L119" s="10">
        <v>4.0999999999999996</v>
      </c>
      <c r="M119" s="10">
        <v>58</v>
      </c>
      <c r="N119" s="8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3.8">
      <c r="A120" s="6">
        <v>119</v>
      </c>
      <c r="B120" s="7" t="s">
        <v>13</v>
      </c>
      <c r="C120" s="7" t="s">
        <v>14</v>
      </c>
      <c r="D120" s="8" t="s">
        <v>261</v>
      </c>
      <c r="E120" s="7" t="s">
        <v>16</v>
      </c>
      <c r="F120" s="7" t="s">
        <v>16</v>
      </c>
      <c r="G120" s="7" t="s">
        <v>16</v>
      </c>
      <c r="H120" s="7" t="s">
        <v>16</v>
      </c>
      <c r="I120" s="13">
        <v>7524823140</v>
      </c>
      <c r="J120" s="14" t="s">
        <v>262</v>
      </c>
      <c r="K120" s="7" t="s">
        <v>56</v>
      </c>
      <c r="L120" s="10">
        <v>5</v>
      </c>
      <c r="M120" s="10">
        <v>1</v>
      </c>
      <c r="N120" s="8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3.8">
      <c r="A121" s="6">
        <v>120</v>
      </c>
      <c r="B121" s="7" t="s">
        <v>13</v>
      </c>
      <c r="C121" s="7" t="s">
        <v>14</v>
      </c>
      <c r="D121" s="8" t="s">
        <v>263</v>
      </c>
      <c r="E121" s="7" t="s">
        <v>16</v>
      </c>
      <c r="F121" s="7" t="s">
        <v>16</v>
      </c>
      <c r="G121" s="7" t="s">
        <v>16</v>
      </c>
      <c r="H121" s="7" t="s">
        <v>16</v>
      </c>
      <c r="I121" s="13">
        <v>8808042916</v>
      </c>
      <c r="J121" s="14" t="s">
        <v>264</v>
      </c>
      <c r="K121" s="7" t="s">
        <v>56</v>
      </c>
      <c r="L121" s="10">
        <v>4.4000000000000004</v>
      </c>
      <c r="M121" s="10">
        <v>34</v>
      </c>
      <c r="N121" s="8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3.8">
      <c r="A122" s="6">
        <v>121</v>
      </c>
      <c r="B122" s="7" t="s">
        <v>13</v>
      </c>
      <c r="C122" s="7" t="s">
        <v>14</v>
      </c>
      <c r="D122" s="8" t="s">
        <v>265</v>
      </c>
      <c r="E122" s="7" t="s">
        <v>16</v>
      </c>
      <c r="F122" s="7" t="s">
        <v>16</v>
      </c>
      <c r="G122" s="7" t="s">
        <v>16</v>
      </c>
      <c r="H122" s="7" t="s">
        <v>16</v>
      </c>
      <c r="I122" s="13">
        <v>9369233881</v>
      </c>
      <c r="J122" s="14" t="s">
        <v>266</v>
      </c>
      <c r="K122" s="7" t="s">
        <v>56</v>
      </c>
      <c r="L122" s="10">
        <v>4.8</v>
      </c>
      <c r="M122" s="10">
        <v>140</v>
      </c>
      <c r="N122" s="8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3.8">
      <c r="A123" s="6">
        <v>122</v>
      </c>
      <c r="B123" s="7" t="s">
        <v>13</v>
      </c>
      <c r="C123" s="7" t="s">
        <v>14</v>
      </c>
      <c r="D123" s="8" t="s">
        <v>267</v>
      </c>
      <c r="E123" s="7" t="s">
        <v>16</v>
      </c>
      <c r="F123" s="7" t="s">
        <v>16</v>
      </c>
      <c r="G123" s="7" t="s">
        <v>16</v>
      </c>
      <c r="H123" s="7" t="s">
        <v>16</v>
      </c>
      <c r="I123" s="13">
        <v>7408423070</v>
      </c>
      <c r="J123" s="14" t="s">
        <v>268</v>
      </c>
      <c r="K123" s="7" t="s">
        <v>56</v>
      </c>
      <c r="L123" s="10">
        <v>4.3</v>
      </c>
      <c r="M123" s="10">
        <v>636</v>
      </c>
      <c r="N123" s="8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3.8">
      <c r="A124" s="6">
        <v>123</v>
      </c>
      <c r="B124" s="7" t="s">
        <v>13</v>
      </c>
      <c r="C124" s="7" t="s">
        <v>14</v>
      </c>
      <c r="D124" s="8" t="s">
        <v>269</v>
      </c>
      <c r="E124" s="7" t="s">
        <v>16</v>
      </c>
      <c r="F124" s="7" t="s">
        <v>16</v>
      </c>
      <c r="G124" s="7" t="s">
        <v>16</v>
      </c>
      <c r="H124" s="7" t="s">
        <v>16</v>
      </c>
      <c r="I124" s="13">
        <v>8467889406</v>
      </c>
      <c r="J124" s="14" t="s">
        <v>270</v>
      </c>
      <c r="K124" s="7" t="s">
        <v>56</v>
      </c>
      <c r="L124" s="10">
        <v>5</v>
      </c>
      <c r="M124" s="10">
        <v>5</v>
      </c>
      <c r="N124" s="8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3.8">
      <c r="A125" s="6">
        <v>124</v>
      </c>
      <c r="B125" s="7" t="s">
        <v>13</v>
      </c>
      <c r="C125" s="7" t="s">
        <v>14</v>
      </c>
      <c r="D125" s="12" t="s">
        <v>271</v>
      </c>
      <c r="E125" s="7" t="s">
        <v>16</v>
      </c>
      <c r="F125" s="7" t="s">
        <v>16</v>
      </c>
      <c r="G125" s="7" t="s">
        <v>16</v>
      </c>
      <c r="H125" s="7" t="s">
        <v>16</v>
      </c>
      <c r="I125" s="13">
        <v>9935565591</v>
      </c>
      <c r="J125" s="14" t="s">
        <v>272</v>
      </c>
      <c r="K125" s="7" t="s">
        <v>56</v>
      </c>
      <c r="L125" s="10">
        <v>4.0999999999999996</v>
      </c>
      <c r="M125" s="10">
        <v>12</v>
      </c>
      <c r="N125" s="12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3.8">
      <c r="A126" s="6">
        <v>125</v>
      </c>
      <c r="B126" s="7" t="s">
        <v>13</v>
      </c>
      <c r="C126" s="7" t="s">
        <v>14</v>
      </c>
      <c r="D126" s="8" t="s">
        <v>273</v>
      </c>
      <c r="E126" s="7" t="s">
        <v>16</v>
      </c>
      <c r="F126" s="7" t="s">
        <v>16</v>
      </c>
      <c r="G126" s="7" t="s">
        <v>16</v>
      </c>
      <c r="H126" s="7" t="s">
        <v>16</v>
      </c>
      <c r="I126" s="13">
        <v>9580521078</v>
      </c>
      <c r="J126" s="14" t="s">
        <v>274</v>
      </c>
      <c r="K126" s="7" t="s">
        <v>56</v>
      </c>
      <c r="L126" s="10">
        <v>5</v>
      </c>
      <c r="M126" s="10">
        <v>6</v>
      </c>
      <c r="N126" s="8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3.8">
      <c r="A127" s="6">
        <v>126</v>
      </c>
      <c r="B127" s="7" t="s">
        <v>13</v>
      </c>
      <c r="C127" s="7" t="s">
        <v>14</v>
      </c>
      <c r="D127" s="8" t="s">
        <v>56</v>
      </c>
      <c r="E127" s="7" t="s">
        <v>16</v>
      </c>
      <c r="F127" s="7" t="s">
        <v>16</v>
      </c>
      <c r="G127" s="7" t="s">
        <v>16</v>
      </c>
      <c r="H127" s="7" t="s">
        <v>16</v>
      </c>
      <c r="I127" s="13">
        <v>7905648432</v>
      </c>
      <c r="J127" s="14" t="s">
        <v>275</v>
      </c>
      <c r="K127" s="7" t="s">
        <v>56</v>
      </c>
      <c r="L127" s="10">
        <v>5</v>
      </c>
      <c r="M127" s="10">
        <v>2</v>
      </c>
      <c r="N127" s="8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3.8">
      <c r="A128" s="6">
        <v>127</v>
      </c>
      <c r="B128" s="7" t="s">
        <v>13</v>
      </c>
      <c r="C128" s="7" t="s">
        <v>14</v>
      </c>
      <c r="D128" s="8" t="s">
        <v>276</v>
      </c>
      <c r="E128" s="7" t="s">
        <v>16</v>
      </c>
      <c r="F128" s="7" t="s">
        <v>16</v>
      </c>
      <c r="G128" s="7" t="s">
        <v>16</v>
      </c>
      <c r="H128" s="7" t="s">
        <v>16</v>
      </c>
      <c r="I128" s="13">
        <v>8574230207</v>
      </c>
      <c r="J128" s="14" t="s">
        <v>277</v>
      </c>
      <c r="K128" s="7" t="s">
        <v>56</v>
      </c>
      <c r="L128" s="10">
        <v>5</v>
      </c>
      <c r="M128" s="10">
        <v>4</v>
      </c>
      <c r="N128" s="8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3.8">
      <c r="A129" s="6">
        <v>128</v>
      </c>
      <c r="B129" s="7" t="s">
        <v>13</v>
      </c>
      <c r="C129" s="7" t="s">
        <v>14</v>
      </c>
      <c r="D129" s="8" t="s">
        <v>278</v>
      </c>
      <c r="E129" s="7" t="s">
        <v>16</v>
      </c>
      <c r="F129" s="7" t="s">
        <v>16</v>
      </c>
      <c r="G129" s="7" t="s">
        <v>16</v>
      </c>
      <c r="H129" s="7" t="s">
        <v>16</v>
      </c>
      <c r="I129" s="13">
        <v>6392201178</v>
      </c>
      <c r="J129" s="14" t="s">
        <v>279</v>
      </c>
      <c r="K129" s="7" t="s">
        <v>56</v>
      </c>
      <c r="L129" s="10">
        <v>5</v>
      </c>
      <c r="M129" s="10">
        <v>2</v>
      </c>
      <c r="N129" s="8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3.8">
      <c r="A130" s="6">
        <v>129</v>
      </c>
      <c r="B130" s="7" t="s">
        <v>25</v>
      </c>
      <c r="C130" s="7" t="s">
        <v>26</v>
      </c>
      <c r="D130" s="8" t="s">
        <v>280</v>
      </c>
      <c r="E130" s="7" t="s">
        <v>16</v>
      </c>
      <c r="F130" s="7" t="s">
        <v>16</v>
      </c>
      <c r="G130" s="7" t="s">
        <v>16</v>
      </c>
      <c r="H130" s="7" t="s">
        <v>16</v>
      </c>
      <c r="I130" s="6">
        <f>13476009073</f>
        <v>13476009073</v>
      </c>
      <c r="J130" s="14" t="s">
        <v>281</v>
      </c>
      <c r="K130" s="7" t="s">
        <v>282</v>
      </c>
      <c r="L130" s="10">
        <v>4.5999999999999996</v>
      </c>
      <c r="M130" s="10">
        <v>19</v>
      </c>
      <c r="N130" s="8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3.8">
      <c r="A131" s="6">
        <v>130</v>
      </c>
      <c r="B131" s="7" t="s">
        <v>25</v>
      </c>
      <c r="C131" s="7" t="s">
        <v>26</v>
      </c>
      <c r="D131" s="8" t="s">
        <v>283</v>
      </c>
      <c r="E131" s="7" t="s">
        <v>16</v>
      </c>
      <c r="F131" s="7" t="s">
        <v>16</v>
      </c>
      <c r="G131" s="7" t="s">
        <v>16</v>
      </c>
      <c r="H131" s="7" t="s">
        <v>16</v>
      </c>
      <c r="I131" s="6">
        <f>12122330288</f>
        <v>12122330288</v>
      </c>
      <c r="J131" s="9" t="s">
        <v>284</v>
      </c>
      <c r="K131" s="7" t="s">
        <v>282</v>
      </c>
      <c r="L131" s="10">
        <v>4.5999999999999996</v>
      </c>
      <c r="M131" s="10">
        <v>121</v>
      </c>
      <c r="N131" s="8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3.8">
      <c r="A132" s="6">
        <v>131</v>
      </c>
      <c r="B132" s="7" t="s">
        <v>25</v>
      </c>
      <c r="C132" s="7" t="s">
        <v>26</v>
      </c>
      <c r="D132" s="8" t="s">
        <v>285</v>
      </c>
      <c r="E132" s="7" t="s">
        <v>16</v>
      </c>
      <c r="F132" s="7" t="s">
        <v>16</v>
      </c>
      <c r="G132" s="7" t="s">
        <v>16</v>
      </c>
      <c r="H132" s="7" t="s">
        <v>16</v>
      </c>
      <c r="I132" s="6">
        <f>16468959312</f>
        <v>16468959312</v>
      </c>
      <c r="J132" s="9" t="s">
        <v>286</v>
      </c>
      <c r="K132" s="7" t="s">
        <v>56</v>
      </c>
      <c r="L132" s="10">
        <v>4</v>
      </c>
      <c r="M132" s="10">
        <v>42</v>
      </c>
      <c r="N132" s="8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3.8">
      <c r="A133" s="6">
        <v>132</v>
      </c>
      <c r="B133" s="7" t="s">
        <v>25</v>
      </c>
      <c r="C133" s="7" t="s">
        <v>26</v>
      </c>
      <c r="D133" s="8" t="s">
        <v>287</v>
      </c>
      <c r="E133" s="7" t="s">
        <v>16</v>
      </c>
      <c r="F133" s="7" t="s">
        <v>16</v>
      </c>
      <c r="G133" s="7" t="s">
        <v>16</v>
      </c>
      <c r="H133" s="7" t="s">
        <v>16</v>
      </c>
      <c r="I133" s="6">
        <f>19178252564</f>
        <v>19178252564</v>
      </c>
      <c r="J133" s="9" t="s">
        <v>288</v>
      </c>
      <c r="K133" s="7" t="s">
        <v>18</v>
      </c>
      <c r="L133" s="10">
        <v>5</v>
      </c>
      <c r="M133" s="10">
        <v>5</v>
      </c>
      <c r="N133" s="8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3.8">
      <c r="A134" s="6">
        <v>133</v>
      </c>
      <c r="B134" s="7" t="s">
        <v>25</v>
      </c>
      <c r="C134" s="7" t="s">
        <v>26</v>
      </c>
      <c r="D134" s="8" t="s">
        <v>289</v>
      </c>
      <c r="E134" s="7" t="s">
        <v>16</v>
      </c>
      <c r="F134" s="7" t="s">
        <v>16</v>
      </c>
      <c r="G134" s="7" t="s">
        <v>16</v>
      </c>
      <c r="H134" s="7" t="s">
        <v>16</v>
      </c>
      <c r="I134" s="6">
        <f>16466092199</f>
        <v>16466092199</v>
      </c>
      <c r="J134" s="9" t="s">
        <v>290</v>
      </c>
      <c r="K134" s="7" t="s">
        <v>29</v>
      </c>
      <c r="L134" s="10">
        <v>4.8</v>
      </c>
      <c r="M134" s="10">
        <v>250</v>
      </c>
      <c r="N134" s="8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3.8">
      <c r="A135" s="6">
        <v>134</v>
      </c>
      <c r="B135" s="7" t="s">
        <v>13</v>
      </c>
      <c r="C135" s="7" t="s">
        <v>14</v>
      </c>
      <c r="D135" s="8" t="s">
        <v>291</v>
      </c>
      <c r="E135" s="7" t="s">
        <v>16</v>
      </c>
      <c r="F135" s="7" t="s">
        <v>16</v>
      </c>
      <c r="G135" s="7" t="s">
        <v>16</v>
      </c>
      <c r="H135" s="7" t="s">
        <v>16</v>
      </c>
      <c r="I135" s="6">
        <v>9721000839</v>
      </c>
      <c r="J135" s="9" t="s">
        <v>292</v>
      </c>
      <c r="K135" s="7" t="s">
        <v>18</v>
      </c>
      <c r="L135" s="10">
        <v>4.9000000000000004</v>
      </c>
      <c r="M135" s="10">
        <v>504</v>
      </c>
      <c r="N135" s="8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3.8">
      <c r="A136" s="6">
        <v>135</v>
      </c>
      <c r="B136" s="7" t="s">
        <v>13</v>
      </c>
      <c r="C136" s="7" t="s">
        <v>14</v>
      </c>
      <c r="D136" s="8" t="s">
        <v>293</v>
      </c>
      <c r="E136" s="7" t="s">
        <v>16</v>
      </c>
      <c r="F136" s="7" t="s">
        <v>16</v>
      </c>
      <c r="G136" s="7" t="s">
        <v>16</v>
      </c>
      <c r="H136" s="7" t="s">
        <v>16</v>
      </c>
      <c r="I136" s="6">
        <v>8885762957</v>
      </c>
      <c r="J136" s="9" t="s">
        <v>294</v>
      </c>
      <c r="K136" s="7" t="s">
        <v>18</v>
      </c>
      <c r="L136" s="10">
        <v>4.8</v>
      </c>
      <c r="M136" s="10">
        <v>66</v>
      </c>
      <c r="N136" s="8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3.8">
      <c r="A137" s="6">
        <v>136</v>
      </c>
      <c r="B137" s="7" t="s">
        <v>13</v>
      </c>
      <c r="C137" s="7" t="s">
        <v>14</v>
      </c>
      <c r="D137" s="8" t="s">
        <v>295</v>
      </c>
      <c r="E137" s="7" t="s">
        <v>16</v>
      </c>
      <c r="F137" s="7" t="s">
        <v>16</v>
      </c>
      <c r="G137" s="7" t="s">
        <v>16</v>
      </c>
      <c r="H137" s="7" t="s">
        <v>16</v>
      </c>
      <c r="I137" s="6">
        <v>9120169074</v>
      </c>
      <c r="J137" s="9" t="s">
        <v>296</v>
      </c>
      <c r="K137" s="7" t="s">
        <v>18</v>
      </c>
      <c r="L137" s="10">
        <v>4.9000000000000004</v>
      </c>
      <c r="M137" s="10">
        <v>313</v>
      </c>
      <c r="N137" s="8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3.8">
      <c r="A138" s="6">
        <v>137</v>
      </c>
      <c r="B138" s="7" t="s">
        <v>13</v>
      </c>
      <c r="C138" s="7" t="s">
        <v>14</v>
      </c>
      <c r="D138" s="8" t="s">
        <v>297</v>
      </c>
      <c r="E138" s="7" t="s">
        <v>16</v>
      </c>
      <c r="F138" s="7" t="s">
        <v>16</v>
      </c>
      <c r="G138" s="7" t="s">
        <v>16</v>
      </c>
      <c r="H138" s="7" t="s">
        <v>16</v>
      </c>
      <c r="I138" s="6">
        <v>7860314702</v>
      </c>
      <c r="J138" s="9" t="s">
        <v>298</v>
      </c>
      <c r="K138" s="7" t="s">
        <v>18</v>
      </c>
      <c r="L138" s="10">
        <v>4.9000000000000004</v>
      </c>
      <c r="M138" s="10">
        <v>192</v>
      </c>
      <c r="N138" s="8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3.8">
      <c r="A139" s="6">
        <v>138</v>
      </c>
      <c r="B139" s="7" t="s">
        <v>13</v>
      </c>
      <c r="C139" s="7" t="s">
        <v>14</v>
      </c>
      <c r="D139" s="8" t="s">
        <v>299</v>
      </c>
      <c r="E139" s="7" t="s">
        <v>16</v>
      </c>
      <c r="F139" s="7" t="s">
        <v>16</v>
      </c>
      <c r="G139" s="7" t="s">
        <v>16</v>
      </c>
      <c r="H139" s="7" t="s">
        <v>16</v>
      </c>
      <c r="I139" s="6">
        <v>8707208110</v>
      </c>
      <c r="J139" s="9" t="s">
        <v>300</v>
      </c>
      <c r="K139" s="7" t="s">
        <v>18</v>
      </c>
      <c r="L139" s="10">
        <v>4.9000000000000004</v>
      </c>
      <c r="M139" s="10">
        <v>121</v>
      </c>
      <c r="N139" s="8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3.8">
      <c r="A140" s="6">
        <v>139</v>
      </c>
      <c r="B140" s="7" t="s">
        <v>13</v>
      </c>
      <c r="C140" s="7" t="s">
        <v>14</v>
      </c>
      <c r="D140" s="8" t="s">
        <v>301</v>
      </c>
      <c r="E140" s="7" t="s">
        <v>16</v>
      </c>
      <c r="F140" s="7" t="s">
        <v>16</v>
      </c>
      <c r="G140" s="7" t="s">
        <v>16</v>
      </c>
      <c r="H140" s="7" t="s">
        <v>16</v>
      </c>
      <c r="I140" s="6">
        <v>9140942123</v>
      </c>
      <c r="J140" s="9" t="s">
        <v>302</v>
      </c>
      <c r="K140" s="7" t="s">
        <v>18</v>
      </c>
      <c r="L140" s="10">
        <v>4.5</v>
      </c>
      <c r="M140" s="10">
        <v>552</v>
      </c>
      <c r="N140" s="8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3.8">
      <c r="A141" s="6">
        <v>140</v>
      </c>
      <c r="B141" s="7" t="s">
        <v>13</v>
      </c>
      <c r="C141" s="7" t="s">
        <v>14</v>
      </c>
      <c r="D141" s="12" t="s">
        <v>303</v>
      </c>
      <c r="E141" s="7" t="s">
        <v>16</v>
      </c>
      <c r="F141" s="7" t="s">
        <v>16</v>
      </c>
      <c r="G141" s="7" t="s">
        <v>16</v>
      </c>
      <c r="H141" s="7" t="s">
        <v>16</v>
      </c>
      <c r="I141" s="6">
        <v>9696294296</v>
      </c>
      <c r="J141" s="9" t="s">
        <v>304</v>
      </c>
      <c r="K141" s="7" t="s">
        <v>18</v>
      </c>
      <c r="L141" s="10">
        <v>4.9000000000000004</v>
      </c>
      <c r="M141" s="10">
        <v>66</v>
      </c>
      <c r="N141" s="12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3.8">
      <c r="A142" s="6">
        <v>141</v>
      </c>
      <c r="B142" s="7" t="s">
        <v>13</v>
      </c>
      <c r="C142" s="7" t="s">
        <v>14</v>
      </c>
      <c r="D142" s="8" t="s">
        <v>305</v>
      </c>
      <c r="E142" s="7" t="s">
        <v>16</v>
      </c>
      <c r="F142" s="7" t="s">
        <v>16</v>
      </c>
      <c r="G142" s="7" t="s">
        <v>16</v>
      </c>
      <c r="H142" s="7" t="s">
        <v>16</v>
      </c>
      <c r="I142" s="6">
        <v>6394333919</v>
      </c>
      <c r="J142" s="9" t="s">
        <v>306</v>
      </c>
      <c r="K142" s="7" t="s">
        <v>18</v>
      </c>
      <c r="L142" s="10">
        <v>4.7</v>
      </c>
      <c r="M142" s="10">
        <v>81</v>
      </c>
      <c r="N142" s="8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3.8">
      <c r="A143" s="6">
        <v>142</v>
      </c>
      <c r="B143" s="7" t="s">
        <v>13</v>
      </c>
      <c r="C143" s="7" t="s">
        <v>14</v>
      </c>
      <c r="D143" s="8" t="s">
        <v>307</v>
      </c>
      <c r="E143" s="7" t="s">
        <v>16</v>
      </c>
      <c r="F143" s="7" t="s">
        <v>16</v>
      </c>
      <c r="G143" s="7" t="s">
        <v>16</v>
      </c>
      <c r="H143" s="7" t="s">
        <v>16</v>
      </c>
      <c r="I143" s="6">
        <v>9140510184</v>
      </c>
      <c r="J143" s="9" t="s">
        <v>308</v>
      </c>
      <c r="K143" s="7" t="s">
        <v>18</v>
      </c>
      <c r="L143" s="10">
        <v>5</v>
      </c>
      <c r="M143" s="10">
        <v>29</v>
      </c>
      <c r="N143" s="8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3.8">
      <c r="A144" s="6">
        <v>143</v>
      </c>
      <c r="B144" s="7" t="s">
        <v>13</v>
      </c>
      <c r="C144" s="7" t="s">
        <v>14</v>
      </c>
      <c r="D144" s="8" t="s">
        <v>309</v>
      </c>
      <c r="E144" s="7" t="s">
        <v>16</v>
      </c>
      <c r="F144" s="7" t="s">
        <v>16</v>
      </c>
      <c r="G144" s="7" t="s">
        <v>16</v>
      </c>
      <c r="H144" s="7" t="s">
        <v>16</v>
      </c>
      <c r="I144" s="6">
        <v>9919736852</v>
      </c>
      <c r="J144" s="9" t="s">
        <v>310</v>
      </c>
      <c r="K144" s="7" t="s">
        <v>18</v>
      </c>
      <c r="L144" s="10">
        <v>4.5999999999999996</v>
      </c>
      <c r="M144" s="10">
        <v>221</v>
      </c>
      <c r="N144" s="8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3.8">
      <c r="A145" s="6">
        <v>144</v>
      </c>
      <c r="B145" s="7" t="s">
        <v>13</v>
      </c>
      <c r="C145" s="7" t="s">
        <v>14</v>
      </c>
      <c r="D145" s="8" t="s">
        <v>311</v>
      </c>
      <c r="E145" s="7" t="s">
        <v>16</v>
      </c>
      <c r="F145" s="7" t="s">
        <v>16</v>
      </c>
      <c r="G145" s="7" t="s">
        <v>16</v>
      </c>
      <c r="H145" s="7" t="s">
        <v>16</v>
      </c>
      <c r="I145" s="6">
        <v>9005379640</v>
      </c>
      <c r="J145" s="9" t="s">
        <v>312</v>
      </c>
      <c r="K145" s="7" t="s">
        <v>18</v>
      </c>
      <c r="L145" s="10">
        <v>5</v>
      </c>
      <c r="M145" s="10">
        <v>81</v>
      </c>
      <c r="N145" s="8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3.8">
      <c r="A146" s="6">
        <v>145</v>
      </c>
      <c r="B146" s="7" t="s">
        <v>13</v>
      </c>
      <c r="C146" s="7" t="s">
        <v>14</v>
      </c>
      <c r="D146" s="8" t="s">
        <v>313</v>
      </c>
      <c r="E146" s="7" t="s">
        <v>16</v>
      </c>
      <c r="F146" s="7" t="s">
        <v>16</v>
      </c>
      <c r="G146" s="7" t="s">
        <v>16</v>
      </c>
      <c r="H146" s="7" t="s">
        <v>16</v>
      </c>
      <c r="I146" s="6">
        <v>7499413643</v>
      </c>
      <c r="J146" s="9" t="s">
        <v>314</v>
      </c>
      <c r="K146" s="7" t="s">
        <v>18</v>
      </c>
      <c r="L146" s="10">
        <v>4.9000000000000004</v>
      </c>
      <c r="M146" s="10">
        <v>101</v>
      </c>
      <c r="N146" s="8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3.8">
      <c r="A147" s="6">
        <v>146</v>
      </c>
      <c r="B147" s="7" t="s">
        <v>13</v>
      </c>
      <c r="C147" s="7" t="s">
        <v>14</v>
      </c>
      <c r="D147" s="8" t="s">
        <v>315</v>
      </c>
      <c r="E147" s="7" t="s">
        <v>16</v>
      </c>
      <c r="F147" s="7" t="s">
        <v>16</v>
      </c>
      <c r="G147" s="7" t="s">
        <v>16</v>
      </c>
      <c r="H147" s="7" t="s">
        <v>16</v>
      </c>
      <c r="I147" s="6">
        <v>9807193717</v>
      </c>
      <c r="J147" s="9" t="s">
        <v>316</v>
      </c>
      <c r="K147" s="7" t="s">
        <v>18</v>
      </c>
      <c r="L147" s="10">
        <v>4.8</v>
      </c>
      <c r="M147" s="10">
        <v>216</v>
      </c>
      <c r="N147" s="8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3.8">
      <c r="A148" s="6">
        <v>147</v>
      </c>
      <c r="B148" s="7" t="s">
        <v>13</v>
      </c>
      <c r="C148" s="7" t="s">
        <v>14</v>
      </c>
      <c r="D148" s="12" t="s">
        <v>317</v>
      </c>
      <c r="E148" s="7" t="s">
        <v>16</v>
      </c>
      <c r="F148" s="7" t="s">
        <v>16</v>
      </c>
      <c r="G148" s="7" t="s">
        <v>16</v>
      </c>
      <c r="H148" s="7" t="s">
        <v>16</v>
      </c>
      <c r="I148" s="6">
        <v>6392777848</v>
      </c>
      <c r="J148" s="9" t="s">
        <v>318</v>
      </c>
      <c r="K148" s="7" t="s">
        <v>18</v>
      </c>
      <c r="L148" s="10">
        <v>4.4000000000000004</v>
      </c>
      <c r="M148" s="10">
        <v>16</v>
      </c>
      <c r="N148" s="12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3.8">
      <c r="A149" s="6">
        <v>148</v>
      </c>
      <c r="B149" s="7" t="s">
        <v>13</v>
      </c>
      <c r="C149" s="7" t="s">
        <v>14</v>
      </c>
      <c r="D149" s="8" t="s">
        <v>319</v>
      </c>
      <c r="E149" s="7" t="s">
        <v>16</v>
      </c>
      <c r="F149" s="7" t="s">
        <v>16</v>
      </c>
      <c r="G149" s="7" t="s">
        <v>16</v>
      </c>
      <c r="H149" s="7" t="s">
        <v>16</v>
      </c>
      <c r="I149" s="6">
        <v>9839660706</v>
      </c>
      <c r="J149" s="9" t="s">
        <v>320</v>
      </c>
      <c r="K149" s="7" t="s">
        <v>18</v>
      </c>
      <c r="L149" s="10">
        <v>4.9000000000000004</v>
      </c>
      <c r="M149" s="10">
        <v>99</v>
      </c>
      <c r="N149" s="8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3.8">
      <c r="A150" s="6">
        <v>149</v>
      </c>
      <c r="B150" s="7" t="s">
        <v>25</v>
      </c>
      <c r="C150" s="7" t="s">
        <v>26</v>
      </c>
      <c r="D150" s="8" t="s">
        <v>321</v>
      </c>
      <c r="E150" s="7" t="s">
        <v>16</v>
      </c>
      <c r="F150" s="7" t="s">
        <v>16</v>
      </c>
      <c r="G150" s="7" t="s">
        <v>16</v>
      </c>
      <c r="H150" s="7" t="s">
        <v>16</v>
      </c>
      <c r="I150" s="6">
        <f>12127222680</f>
        <v>12127222680</v>
      </c>
      <c r="J150" s="9" t="s">
        <v>322</v>
      </c>
      <c r="K150" s="7" t="s">
        <v>56</v>
      </c>
      <c r="L150" s="10">
        <v>4.3</v>
      </c>
      <c r="M150" s="10">
        <v>114</v>
      </c>
      <c r="N150" s="8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>
      <c r="A151" s="6">
        <v>150</v>
      </c>
      <c r="B151" s="7" t="s">
        <v>25</v>
      </c>
      <c r="C151" s="7" t="s">
        <v>26</v>
      </c>
      <c r="D151" s="8" t="s">
        <v>323</v>
      </c>
      <c r="E151" s="7" t="s">
        <v>16</v>
      </c>
      <c r="F151" s="7" t="s">
        <v>16</v>
      </c>
      <c r="G151" s="7" t="s">
        <v>16</v>
      </c>
      <c r="H151" s="7" t="s">
        <v>16</v>
      </c>
      <c r="I151" s="6">
        <f>12124144300</f>
        <v>12124144300</v>
      </c>
      <c r="J151" s="9" t="s">
        <v>324</v>
      </c>
      <c r="K151" s="7" t="s">
        <v>325</v>
      </c>
      <c r="L151" s="15">
        <v>3.7</v>
      </c>
      <c r="M151" s="15">
        <v>38</v>
      </c>
      <c r="N151" s="8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>
      <c r="A152" s="6">
        <v>151</v>
      </c>
      <c r="B152" s="7" t="s">
        <v>25</v>
      </c>
      <c r="C152" s="7" t="s">
        <v>26</v>
      </c>
      <c r="D152" s="8" t="s">
        <v>326</v>
      </c>
      <c r="E152" s="7" t="s">
        <v>16</v>
      </c>
      <c r="F152" s="7" t="s">
        <v>16</v>
      </c>
      <c r="G152" s="7" t="s">
        <v>16</v>
      </c>
      <c r="H152" s="7" t="s">
        <v>16</v>
      </c>
      <c r="I152" s="6">
        <f>12122219463</f>
        <v>12122219463</v>
      </c>
      <c r="J152" s="9" t="s">
        <v>327</v>
      </c>
      <c r="K152" s="7" t="s">
        <v>325</v>
      </c>
      <c r="L152" s="15">
        <v>4.0999999999999996</v>
      </c>
      <c r="M152" s="15">
        <v>160</v>
      </c>
      <c r="N152" s="8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>
      <c r="A153" s="6">
        <v>152</v>
      </c>
      <c r="B153" s="7" t="s">
        <v>25</v>
      </c>
      <c r="C153" s="7" t="s">
        <v>26</v>
      </c>
      <c r="D153" s="8" t="s">
        <v>328</v>
      </c>
      <c r="E153" s="7" t="s">
        <v>16</v>
      </c>
      <c r="F153" s="7" t="s">
        <v>16</v>
      </c>
      <c r="G153" s="7" t="s">
        <v>16</v>
      </c>
      <c r="H153" s="7" t="s">
        <v>16</v>
      </c>
      <c r="I153" s="6">
        <f>12126855151</f>
        <v>12126855151</v>
      </c>
      <c r="J153" s="9" t="s">
        <v>329</v>
      </c>
      <c r="K153" s="7" t="s">
        <v>325</v>
      </c>
      <c r="L153" s="15">
        <v>4.0999999999999996</v>
      </c>
      <c r="M153" s="15">
        <v>45</v>
      </c>
      <c r="N153" s="8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>
      <c r="A154" s="6">
        <v>153</v>
      </c>
      <c r="B154" s="7" t="s">
        <v>25</v>
      </c>
      <c r="C154" s="7" t="s">
        <v>26</v>
      </c>
      <c r="D154" s="8" t="s">
        <v>330</v>
      </c>
      <c r="E154" s="7" t="s">
        <v>16</v>
      </c>
      <c r="F154" s="7" t="s">
        <v>16</v>
      </c>
      <c r="G154" s="7" t="s">
        <v>16</v>
      </c>
      <c r="H154" s="7" t="s">
        <v>16</v>
      </c>
      <c r="I154" s="6">
        <f>12126751813</f>
        <v>12126751813</v>
      </c>
      <c r="J154" s="9" t="s">
        <v>331</v>
      </c>
      <c r="K154" s="7" t="s">
        <v>325</v>
      </c>
      <c r="L154" s="15">
        <v>4.5</v>
      </c>
      <c r="M154" s="15">
        <v>65</v>
      </c>
      <c r="N154" s="8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>
      <c r="A155" s="6">
        <v>154</v>
      </c>
      <c r="B155" s="7" t="s">
        <v>13</v>
      </c>
      <c r="C155" s="7" t="s">
        <v>14</v>
      </c>
      <c r="D155" s="8" t="s">
        <v>332</v>
      </c>
      <c r="E155" s="7" t="s">
        <v>16</v>
      </c>
      <c r="F155" s="7" t="s">
        <v>16</v>
      </c>
      <c r="G155" s="7" t="s">
        <v>16</v>
      </c>
      <c r="H155" s="7" t="s">
        <v>16</v>
      </c>
      <c r="I155" s="13">
        <v>6393973428</v>
      </c>
      <c r="J155" s="14" t="s">
        <v>333</v>
      </c>
      <c r="K155" s="7" t="s">
        <v>56</v>
      </c>
      <c r="L155" s="15">
        <v>5</v>
      </c>
      <c r="M155" s="15">
        <v>4</v>
      </c>
      <c r="N155" s="8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>
      <c r="A156" s="6">
        <v>155</v>
      </c>
      <c r="B156" s="7" t="s">
        <v>13</v>
      </c>
      <c r="C156" s="7" t="s">
        <v>14</v>
      </c>
      <c r="D156" s="8" t="s">
        <v>251</v>
      </c>
      <c r="E156" s="7" t="s">
        <v>16</v>
      </c>
      <c r="F156" s="7" t="s">
        <v>16</v>
      </c>
      <c r="G156" s="7" t="s">
        <v>16</v>
      </c>
      <c r="H156" s="7" t="s">
        <v>16</v>
      </c>
      <c r="I156" s="13">
        <v>9450110621</v>
      </c>
      <c r="J156" s="14" t="s">
        <v>334</v>
      </c>
      <c r="K156" s="7" t="s">
        <v>56</v>
      </c>
      <c r="L156" s="15">
        <v>5</v>
      </c>
      <c r="M156" s="15">
        <v>1</v>
      </c>
      <c r="N156" s="8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>
      <c r="A157" s="6">
        <v>156</v>
      </c>
      <c r="B157" s="7" t="s">
        <v>13</v>
      </c>
      <c r="C157" s="7" t="s">
        <v>14</v>
      </c>
      <c r="D157" s="8" t="s">
        <v>335</v>
      </c>
      <c r="E157" s="7" t="s">
        <v>16</v>
      </c>
      <c r="F157" s="7" t="s">
        <v>16</v>
      </c>
      <c r="G157" s="7" t="s">
        <v>16</v>
      </c>
      <c r="H157" s="7" t="s">
        <v>16</v>
      </c>
      <c r="I157" s="13">
        <v>8564888944</v>
      </c>
      <c r="J157" s="14" t="s">
        <v>336</v>
      </c>
      <c r="K157" s="7" t="s">
        <v>56</v>
      </c>
      <c r="L157" s="15">
        <v>4</v>
      </c>
      <c r="M157" s="15">
        <v>18</v>
      </c>
      <c r="N157" s="8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>
      <c r="A158" s="6">
        <v>157</v>
      </c>
      <c r="B158" s="7" t="s">
        <v>13</v>
      </c>
      <c r="C158" s="7" t="s">
        <v>14</v>
      </c>
      <c r="D158" s="8" t="s">
        <v>337</v>
      </c>
      <c r="E158" s="7" t="s">
        <v>16</v>
      </c>
      <c r="F158" s="7" t="s">
        <v>16</v>
      </c>
      <c r="G158" s="7" t="s">
        <v>16</v>
      </c>
      <c r="H158" s="7" t="s">
        <v>16</v>
      </c>
      <c r="I158" s="13">
        <v>8565902920</v>
      </c>
      <c r="J158" s="14" t="s">
        <v>338</v>
      </c>
      <c r="K158" s="7" t="s">
        <v>56</v>
      </c>
      <c r="L158" s="15">
        <v>3.8</v>
      </c>
      <c r="M158" s="15">
        <v>51</v>
      </c>
      <c r="N158" s="8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>
      <c r="A159" s="6">
        <v>158</v>
      </c>
      <c r="B159" s="7" t="s">
        <v>13</v>
      </c>
      <c r="C159" s="7" t="s">
        <v>14</v>
      </c>
      <c r="D159" s="8" t="s">
        <v>339</v>
      </c>
      <c r="E159" s="7" t="s">
        <v>16</v>
      </c>
      <c r="F159" s="7" t="s">
        <v>16</v>
      </c>
      <c r="G159" s="7" t="s">
        <v>16</v>
      </c>
      <c r="H159" s="7" t="s">
        <v>16</v>
      </c>
      <c r="I159" s="13">
        <v>9659533423</v>
      </c>
      <c r="J159" s="14" t="s">
        <v>340</v>
      </c>
      <c r="K159" s="7" t="s">
        <v>56</v>
      </c>
      <c r="L159" s="15">
        <v>5</v>
      </c>
      <c r="M159" s="15">
        <v>1</v>
      </c>
      <c r="N159" s="8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>
      <c r="A160" s="6">
        <v>159</v>
      </c>
      <c r="B160" s="7" t="s">
        <v>13</v>
      </c>
      <c r="C160" s="7" t="s">
        <v>14</v>
      </c>
      <c r="D160" s="8" t="s">
        <v>341</v>
      </c>
      <c r="E160" s="7" t="s">
        <v>16</v>
      </c>
      <c r="F160" s="7" t="s">
        <v>16</v>
      </c>
      <c r="G160" s="7" t="s">
        <v>16</v>
      </c>
      <c r="H160" s="7" t="s">
        <v>16</v>
      </c>
      <c r="I160" s="13">
        <v>8565065134</v>
      </c>
      <c r="J160" s="14" t="s">
        <v>342</v>
      </c>
      <c r="K160" s="7" t="s">
        <v>56</v>
      </c>
      <c r="L160" s="15">
        <v>4.9000000000000004</v>
      </c>
      <c r="M160" s="15">
        <v>24</v>
      </c>
      <c r="N160" s="8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>
      <c r="A161" s="6">
        <v>160</v>
      </c>
      <c r="B161" s="7" t="s">
        <v>13</v>
      </c>
      <c r="C161" s="7" t="s">
        <v>14</v>
      </c>
      <c r="D161" s="8" t="s">
        <v>56</v>
      </c>
      <c r="E161" s="7" t="s">
        <v>16</v>
      </c>
      <c r="F161" s="7" t="s">
        <v>16</v>
      </c>
      <c r="G161" s="7" t="s">
        <v>16</v>
      </c>
      <c r="H161" s="7" t="s">
        <v>16</v>
      </c>
      <c r="I161" s="13">
        <v>9415577246</v>
      </c>
      <c r="J161" s="14" t="s">
        <v>343</v>
      </c>
      <c r="K161" s="7" t="s">
        <v>56</v>
      </c>
      <c r="L161" s="15">
        <v>4.3</v>
      </c>
      <c r="M161" s="15">
        <v>15</v>
      </c>
      <c r="N161" s="8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>
      <c r="A162" s="6">
        <v>161</v>
      </c>
      <c r="B162" s="7" t="s">
        <v>13</v>
      </c>
      <c r="C162" s="7" t="s">
        <v>14</v>
      </c>
      <c r="D162" s="8" t="s">
        <v>344</v>
      </c>
      <c r="E162" s="7" t="s">
        <v>16</v>
      </c>
      <c r="F162" s="7" t="s">
        <v>16</v>
      </c>
      <c r="G162" s="7" t="s">
        <v>16</v>
      </c>
      <c r="H162" s="7" t="s">
        <v>16</v>
      </c>
      <c r="I162" s="13">
        <v>9305265921</v>
      </c>
      <c r="J162" s="14" t="s">
        <v>345</v>
      </c>
      <c r="K162" s="7" t="s">
        <v>56</v>
      </c>
      <c r="L162" s="15">
        <v>5</v>
      </c>
      <c r="M162" s="15">
        <v>4</v>
      </c>
      <c r="N162" s="8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>
      <c r="A163" s="6">
        <v>162</v>
      </c>
      <c r="B163" s="7" t="s">
        <v>13</v>
      </c>
      <c r="C163" s="7" t="s">
        <v>14</v>
      </c>
      <c r="D163" s="8" t="s">
        <v>346</v>
      </c>
      <c r="E163" s="7" t="s">
        <v>16</v>
      </c>
      <c r="F163" s="7" t="s">
        <v>16</v>
      </c>
      <c r="G163" s="7" t="s">
        <v>16</v>
      </c>
      <c r="H163" s="7" t="s">
        <v>16</v>
      </c>
      <c r="I163" s="13">
        <v>9453836171</v>
      </c>
      <c r="J163" s="14" t="s">
        <v>347</v>
      </c>
      <c r="K163" s="7" t="s">
        <v>56</v>
      </c>
      <c r="L163" s="15">
        <v>4.8</v>
      </c>
      <c r="M163" s="15">
        <v>5</v>
      </c>
      <c r="N163" s="8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>
      <c r="A164" s="6">
        <v>163</v>
      </c>
      <c r="B164" s="7" t="s">
        <v>13</v>
      </c>
      <c r="C164" s="7" t="s">
        <v>14</v>
      </c>
      <c r="D164" s="8" t="s">
        <v>348</v>
      </c>
      <c r="E164" s="7" t="s">
        <v>16</v>
      </c>
      <c r="F164" s="7" t="s">
        <v>16</v>
      </c>
      <c r="G164" s="7" t="s">
        <v>16</v>
      </c>
      <c r="H164" s="7" t="s">
        <v>16</v>
      </c>
      <c r="I164" s="13">
        <v>9795518366</v>
      </c>
      <c r="J164" s="14" t="s">
        <v>349</v>
      </c>
      <c r="K164" s="7" t="s">
        <v>56</v>
      </c>
      <c r="L164" s="15">
        <v>5</v>
      </c>
      <c r="M164" s="15">
        <v>2</v>
      </c>
      <c r="N164" s="8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>
      <c r="A165" s="6">
        <v>164</v>
      </c>
      <c r="B165" s="7" t="s">
        <v>13</v>
      </c>
      <c r="C165" s="7" t="s">
        <v>14</v>
      </c>
      <c r="D165" s="8" t="s">
        <v>350</v>
      </c>
      <c r="E165" s="7" t="s">
        <v>16</v>
      </c>
      <c r="F165" s="7" t="s">
        <v>16</v>
      </c>
      <c r="G165" s="7" t="s">
        <v>16</v>
      </c>
      <c r="H165" s="7" t="s">
        <v>16</v>
      </c>
      <c r="I165" s="13">
        <v>9198038319</v>
      </c>
      <c r="J165" s="14" t="s">
        <v>351</v>
      </c>
      <c r="K165" s="7" t="s">
        <v>56</v>
      </c>
      <c r="L165" s="15">
        <v>4.4000000000000004</v>
      </c>
      <c r="M165" s="15">
        <v>31</v>
      </c>
      <c r="N165" s="8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>
      <c r="A166" s="6">
        <v>165</v>
      </c>
      <c r="B166" s="7" t="s">
        <v>13</v>
      </c>
      <c r="C166" s="7" t="s">
        <v>14</v>
      </c>
      <c r="D166" s="8" t="s">
        <v>352</v>
      </c>
      <c r="E166" s="7" t="s">
        <v>16</v>
      </c>
      <c r="F166" s="7" t="s">
        <v>16</v>
      </c>
      <c r="G166" s="7" t="s">
        <v>16</v>
      </c>
      <c r="H166" s="7" t="s">
        <v>16</v>
      </c>
      <c r="I166" s="13">
        <v>9555133345</v>
      </c>
      <c r="J166" s="14" t="s">
        <v>353</v>
      </c>
      <c r="K166" s="7" t="s">
        <v>56</v>
      </c>
      <c r="L166" s="15">
        <v>4.4000000000000004</v>
      </c>
      <c r="M166" s="15">
        <v>7</v>
      </c>
      <c r="N166" s="8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>
      <c r="A167" s="6">
        <v>166</v>
      </c>
      <c r="B167" s="7" t="s">
        <v>13</v>
      </c>
      <c r="C167" s="7" t="s">
        <v>14</v>
      </c>
      <c r="D167" s="8" t="s">
        <v>354</v>
      </c>
      <c r="E167" s="7" t="s">
        <v>16</v>
      </c>
      <c r="F167" s="7" t="s">
        <v>16</v>
      </c>
      <c r="G167" s="7" t="s">
        <v>16</v>
      </c>
      <c r="H167" s="7" t="s">
        <v>16</v>
      </c>
      <c r="I167" s="13">
        <v>9936888000</v>
      </c>
      <c r="J167" s="14" t="s">
        <v>355</v>
      </c>
      <c r="K167" s="7" t="s">
        <v>56</v>
      </c>
      <c r="L167" s="15">
        <v>4.8</v>
      </c>
      <c r="M167" s="15">
        <v>16173</v>
      </c>
      <c r="N167" s="8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>
      <c r="A168" s="6">
        <v>167</v>
      </c>
      <c r="B168" s="7" t="s">
        <v>13</v>
      </c>
      <c r="C168" s="7" t="s">
        <v>14</v>
      </c>
      <c r="D168" s="8" t="s">
        <v>356</v>
      </c>
      <c r="E168" s="7" t="s">
        <v>16</v>
      </c>
      <c r="F168" s="7" t="s">
        <v>16</v>
      </c>
      <c r="G168" s="7" t="s">
        <v>16</v>
      </c>
      <c r="H168" s="7" t="s">
        <v>16</v>
      </c>
      <c r="I168" s="13">
        <v>8874888805</v>
      </c>
      <c r="J168" s="14" t="s">
        <v>357</v>
      </c>
      <c r="K168" s="7" t="s">
        <v>358</v>
      </c>
      <c r="L168" s="15">
        <v>4.5</v>
      </c>
      <c r="M168" s="15">
        <v>1092</v>
      </c>
      <c r="N168" s="8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>
      <c r="A169" s="6">
        <v>168</v>
      </c>
      <c r="B169" s="7" t="s">
        <v>13</v>
      </c>
      <c r="C169" s="7" t="s">
        <v>14</v>
      </c>
      <c r="D169" s="8" t="s">
        <v>359</v>
      </c>
      <c r="E169" s="7" t="s">
        <v>16</v>
      </c>
      <c r="F169" s="7" t="s">
        <v>16</v>
      </c>
      <c r="G169" s="7" t="s">
        <v>16</v>
      </c>
      <c r="H169" s="7" t="s">
        <v>16</v>
      </c>
      <c r="I169" s="13">
        <v>9919990331</v>
      </c>
      <c r="J169" s="14" t="s">
        <v>360</v>
      </c>
      <c r="K169" s="7" t="s">
        <v>358</v>
      </c>
      <c r="L169" s="15">
        <v>4.3</v>
      </c>
      <c r="M169" s="15">
        <v>517</v>
      </c>
      <c r="N169" s="8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>
      <c r="A170" s="6">
        <v>169</v>
      </c>
      <c r="B170" s="7" t="s">
        <v>13</v>
      </c>
      <c r="C170" s="7" t="s">
        <v>14</v>
      </c>
      <c r="D170" s="8" t="s">
        <v>361</v>
      </c>
      <c r="E170" s="7" t="s">
        <v>16</v>
      </c>
      <c r="F170" s="7" t="s">
        <v>16</v>
      </c>
      <c r="G170" s="7" t="s">
        <v>16</v>
      </c>
      <c r="H170" s="7" t="s">
        <v>16</v>
      </c>
      <c r="I170" s="13">
        <v>8400399594</v>
      </c>
      <c r="J170" s="14" t="s">
        <v>362</v>
      </c>
      <c r="K170" s="7" t="s">
        <v>358</v>
      </c>
      <c r="L170" s="15">
        <v>4.7</v>
      </c>
      <c r="M170" s="15">
        <v>709</v>
      </c>
      <c r="N170" s="8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>
      <c r="A171" s="6">
        <v>170</v>
      </c>
      <c r="B171" s="7" t="s">
        <v>25</v>
      </c>
      <c r="C171" s="7" t="s">
        <v>26</v>
      </c>
      <c r="D171" s="8" t="s">
        <v>363</v>
      </c>
      <c r="E171" s="7" t="s">
        <v>16</v>
      </c>
      <c r="F171" s="7" t="s">
        <v>16</v>
      </c>
      <c r="G171" s="7" t="s">
        <v>16</v>
      </c>
      <c r="H171" s="7" t="s">
        <v>16</v>
      </c>
      <c r="I171" s="13">
        <f>12127794422</f>
        <v>12127794422</v>
      </c>
      <c r="J171" s="14" t="s">
        <v>364</v>
      </c>
      <c r="K171" s="7" t="s">
        <v>325</v>
      </c>
      <c r="L171" s="15">
        <v>4.5999999999999996</v>
      </c>
      <c r="M171" s="15">
        <v>66</v>
      </c>
      <c r="N171" s="8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>
      <c r="A172" s="6">
        <v>171</v>
      </c>
      <c r="B172" s="7" t="s">
        <v>25</v>
      </c>
      <c r="C172" s="7" t="s">
        <v>26</v>
      </c>
      <c r="D172" s="8" t="s">
        <v>365</v>
      </c>
      <c r="E172" s="7" t="s">
        <v>16</v>
      </c>
      <c r="F172" s="7" t="s">
        <v>16</v>
      </c>
      <c r="G172" s="7" t="s">
        <v>16</v>
      </c>
      <c r="H172" s="7" t="s">
        <v>16</v>
      </c>
      <c r="I172" s="13">
        <f>12126436789</f>
        <v>12126436789</v>
      </c>
      <c r="J172" s="14" t="s">
        <v>366</v>
      </c>
      <c r="K172" s="7" t="s">
        <v>325</v>
      </c>
      <c r="L172" s="15">
        <v>4</v>
      </c>
      <c r="M172" s="15">
        <v>135</v>
      </c>
      <c r="N172" s="8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>
      <c r="A173" s="6">
        <v>172</v>
      </c>
      <c r="B173" s="7" t="s">
        <v>25</v>
      </c>
      <c r="C173" s="7" t="s">
        <v>26</v>
      </c>
      <c r="D173" s="8" t="s">
        <v>367</v>
      </c>
      <c r="E173" s="7" t="s">
        <v>16</v>
      </c>
      <c r="F173" s="7" t="s">
        <v>16</v>
      </c>
      <c r="G173" s="7" t="s">
        <v>16</v>
      </c>
      <c r="H173" s="7" t="s">
        <v>16</v>
      </c>
      <c r="I173" s="13">
        <f>12129621993</f>
        <v>12129621993</v>
      </c>
      <c r="J173" s="14" t="s">
        <v>368</v>
      </c>
      <c r="K173" s="7" t="s">
        <v>325</v>
      </c>
      <c r="L173" s="15">
        <v>4.0999999999999996</v>
      </c>
      <c r="M173" s="15">
        <v>80</v>
      </c>
      <c r="N173" s="8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>
      <c r="A174" s="6">
        <v>173</v>
      </c>
      <c r="B174" s="7" t="s">
        <v>25</v>
      </c>
      <c r="C174" s="7" t="s">
        <v>26</v>
      </c>
      <c r="D174" s="8" t="s">
        <v>369</v>
      </c>
      <c r="E174" s="7" t="s">
        <v>16</v>
      </c>
      <c r="F174" s="7" t="s">
        <v>16</v>
      </c>
      <c r="G174" s="7" t="s">
        <v>16</v>
      </c>
      <c r="H174" s="7" t="s">
        <v>16</v>
      </c>
      <c r="I174" s="13">
        <f>12122190521</f>
        <v>12122190521</v>
      </c>
      <c r="J174" s="14" t="s">
        <v>370</v>
      </c>
      <c r="K174" s="7" t="s">
        <v>325</v>
      </c>
      <c r="L174" s="15">
        <v>3.7</v>
      </c>
      <c r="M174" s="15">
        <v>28</v>
      </c>
      <c r="N174" s="8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>
      <c r="A175" s="6">
        <v>174</v>
      </c>
      <c r="B175" s="7" t="s">
        <v>25</v>
      </c>
      <c r="C175" s="7" t="s">
        <v>26</v>
      </c>
      <c r="D175" s="8" t="s">
        <v>371</v>
      </c>
      <c r="E175" s="7" t="s">
        <v>16</v>
      </c>
      <c r="F175" s="7" t="s">
        <v>16</v>
      </c>
      <c r="G175" s="7" t="s">
        <v>16</v>
      </c>
      <c r="H175" s="7" t="s">
        <v>16</v>
      </c>
      <c r="I175" s="13">
        <f>12128288839</f>
        <v>12128288839</v>
      </c>
      <c r="J175" s="14" t="s">
        <v>372</v>
      </c>
      <c r="K175" s="7" t="s">
        <v>325</v>
      </c>
      <c r="L175" s="15">
        <v>4.5</v>
      </c>
      <c r="M175" s="15">
        <v>56</v>
      </c>
      <c r="N175" s="8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>
      <c r="A176" s="6">
        <v>175</v>
      </c>
      <c r="B176" s="7" t="s">
        <v>13</v>
      </c>
      <c r="C176" s="7" t="s">
        <v>14</v>
      </c>
      <c r="D176" s="8" t="s">
        <v>361</v>
      </c>
      <c r="E176" s="7" t="s">
        <v>16</v>
      </c>
      <c r="F176" s="7" t="s">
        <v>16</v>
      </c>
      <c r="G176" s="7" t="s">
        <v>16</v>
      </c>
      <c r="H176" s="7" t="s">
        <v>16</v>
      </c>
      <c r="I176" s="13">
        <v>8400399594</v>
      </c>
      <c r="J176" s="14" t="s">
        <v>362</v>
      </c>
      <c r="K176" s="7" t="s">
        <v>358</v>
      </c>
      <c r="L176" s="15">
        <v>4.7</v>
      </c>
      <c r="M176" s="15">
        <v>709</v>
      </c>
      <c r="N176" s="8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>
      <c r="A177" s="6">
        <v>176</v>
      </c>
      <c r="B177" s="7" t="s">
        <v>13</v>
      </c>
      <c r="C177" s="7" t="s">
        <v>14</v>
      </c>
      <c r="D177" s="8" t="s">
        <v>373</v>
      </c>
      <c r="E177" s="7" t="s">
        <v>16</v>
      </c>
      <c r="F177" s="7" t="s">
        <v>16</v>
      </c>
      <c r="G177" s="7" t="s">
        <v>16</v>
      </c>
      <c r="H177" s="7" t="s">
        <v>16</v>
      </c>
      <c r="I177" s="13">
        <v>9919990331</v>
      </c>
      <c r="J177" s="14" t="s">
        <v>374</v>
      </c>
      <c r="K177" s="7" t="s">
        <v>358</v>
      </c>
      <c r="L177" s="15">
        <v>4.3</v>
      </c>
      <c r="M177" s="15">
        <v>517</v>
      </c>
      <c r="N177" s="8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>
      <c r="A178" s="6">
        <v>177</v>
      </c>
      <c r="B178" s="7" t="s">
        <v>13</v>
      </c>
      <c r="C178" s="7" t="s">
        <v>14</v>
      </c>
      <c r="D178" s="8" t="s">
        <v>375</v>
      </c>
      <c r="E178" s="7" t="s">
        <v>16</v>
      </c>
      <c r="F178" s="7" t="s">
        <v>16</v>
      </c>
      <c r="G178" s="7" t="s">
        <v>16</v>
      </c>
      <c r="H178" s="7" t="s">
        <v>16</v>
      </c>
      <c r="I178" s="13">
        <v>9454363252</v>
      </c>
      <c r="J178" s="14" t="s">
        <v>376</v>
      </c>
      <c r="K178" s="7" t="s">
        <v>358</v>
      </c>
      <c r="L178" s="15">
        <v>4.7</v>
      </c>
      <c r="M178" s="15">
        <v>84</v>
      </c>
      <c r="N178" s="8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>
      <c r="A179" s="6">
        <v>178</v>
      </c>
      <c r="B179" s="7" t="s">
        <v>13</v>
      </c>
      <c r="C179" s="7" t="s">
        <v>14</v>
      </c>
      <c r="D179" s="8" t="s">
        <v>377</v>
      </c>
      <c r="E179" s="7" t="s">
        <v>16</v>
      </c>
      <c r="F179" s="7" t="s">
        <v>16</v>
      </c>
      <c r="G179" s="7" t="s">
        <v>16</v>
      </c>
      <c r="H179" s="7" t="s">
        <v>16</v>
      </c>
      <c r="I179" s="13">
        <v>5224044777</v>
      </c>
      <c r="J179" s="14" t="s">
        <v>378</v>
      </c>
      <c r="K179" s="7" t="s">
        <v>358</v>
      </c>
      <c r="L179" s="15">
        <v>4.2</v>
      </c>
      <c r="M179" s="15">
        <v>11214</v>
      </c>
      <c r="N179" s="8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>
      <c r="A180" s="6">
        <v>179</v>
      </c>
      <c r="B180" s="7" t="s">
        <v>13</v>
      </c>
      <c r="C180" s="7" t="s">
        <v>14</v>
      </c>
      <c r="D180" s="8" t="s">
        <v>379</v>
      </c>
      <c r="E180" s="7" t="s">
        <v>16</v>
      </c>
      <c r="F180" s="7" t="s">
        <v>16</v>
      </c>
      <c r="G180" s="7" t="s">
        <v>16</v>
      </c>
      <c r="H180" s="7" t="s">
        <v>16</v>
      </c>
      <c r="I180" s="13">
        <v>5224048101</v>
      </c>
      <c r="J180" s="14" t="s">
        <v>380</v>
      </c>
      <c r="K180" s="7" t="s">
        <v>358</v>
      </c>
      <c r="L180" s="15">
        <v>4.2</v>
      </c>
      <c r="M180" s="15">
        <v>16289</v>
      </c>
      <c r="N180" s="8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>
      <c r="A181" s="6">
        <v>180</v>
      </c>
      <c r="B181" s="7" t="s">
        <v>13</v>
      </c>
      <c r="C181" s="7" t="s">
        <v>14</v>
      </c>
      <c r="D181" s="8" t="s">
        <v>381</v>
      </c>
      <c r="E181" s="7" t="s">
        <v>16</v>
      </c>
      <c r="F181" s="7" t="s">
        <v>16</v>
      </c>
      <c r="G181" s="7" t="s">
        <v>16</v>
      </c>
      <c r="H181" s="7" t="s">
        <v>16</v>
      </c>
      <c r="I181" s="13">
        <v>8318849521</v>
      </c>
      <c r="J181" s="14" t="s">
        <v>382</v>
      </c>
      <c r="K181" s="7" t="s">
        <v>358</v>
      </c>
      <c r="L181" s="15">
        <v>4</v>
      </c>
      <c r="M181" s="15">
        <v>625</v>
      </c>
      <c r="N181" s="8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>
      <c r="A182" s="6">
        <v>181</v>
      </c>
      <c r="B182" s="7" t="s">
        <v>13</v>
      </c>
      <c r="C182" s="7" t="s">
        <v>14</v>
      </c>
      <c r="D182" s="8" t="s">
        <v>383</v>
      </c>
      <c r="E182" s="7" t="s">
        <v>16</v>
      </c>
      <c r="F182" s="7" t="s">
        <v>16</v>
      </c>
      <c r="G182" s="7" t="s">
        <v>16</v>
      </c>
      <c r="H182" s="7" t="s">
        <v>16</v>
      </c>
      <c r="I182" s="13">
        <v>9839023902</v>
      </c>
      <c r="J182" s="14" t="s">
        <v>384</v>
      </c>
      <c r="K182" s="7" t="s">
        <v>358</v>
      </c>
      <c r="L182" s="15">
        <v>4.2</v>
      </c>
      <c r="M182" s="15">
        <v>6398</v>
      </c>
      <c r="N182" s="8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>
      <c r="A183" s="6">
        <v>182</v>
      </c>
      <c r="B183" s="7" t="s">
        <v>13</v>
      </c>
      <c r="C183" s="7" t="s">
        <v>14</v>
      </c>
      <c r="D183" s="8" t="s">
        <v>385</v>
      </c>
      <c r="E183" s="7" t="s">
        <v>16</v>
      </c>
      <c r="F183" s="7" t="s">
        <v>16</v>
      </c>
      <c r="G183" s="7" t="s">
        <v>16</v>
      </c>
      <c r="H183" s="7" t="s">
        <v>16</v>
      </c>
      <c r="I183" s="13">
        <v>9839397979</v>
      </c>
      <c r="J183" s="14" t="s">
        <v>386</v>
      </c>
      <c r="K183" s="7" t="s">
        <v>358</v>
      </c>
      <c r="L183" s="15">
        <v>4.4000000000000004</v>
      </c>
      <c r="M183" s="15">
        <v>2252</v>
      </c>
      <c r="N183" s="8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>
      <c r="A184" s="6">
        <v>183</v>
      </c>
      <c r="B184" s="7" t="s">
        <v>13</v>
      </c>
      <c r="C184" s="7" t="s">
        <v>14</v>
      </c>
      <c r="D184" s="8" t="s">
        <v>387</v>
      </c>
      <c r="E184" s="7" t="s">
        <v>16</v>
      </c>
      <c r="F184" s="7" t="s">
        <v>16</v>
      </c>
      <c r="G184" s="7" t="s">
        <v>16</v>
      </c>
      <c r="H184" s="7" t="s">
        <v>16</v>
      </c>
      <c r="I184" s="13">
        <v>6392502020</v>
      </c>
      <c r="J184" s="14" t="s">
        <v>388</v>
      </c>
      <c r="K184" s="7" t="s">
        <v>358</v>
      </c>
      <c r="L184" s="15">
        <v>4.3</v>
      </c>
      <c r="M184" s="15">
        <v>322</v>
      </c>
      <c r="N184" s="8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>
      <c r="A185" s="6">
        <v>184</v>
      </c>
      <c r="B185" s="7" t="s">
        <v>13</v>
      </c>
      <c r="C185" s="7" t="s">
        <v>14</v>
      </c>
      <c r="D185" s="8" t="s">
        <v>389</v>
      </c>
      <c r="E185" s="7" t="s">
        <v>16</v>
      </c>
      <c r="F185" s="7" t="s">
        <v>16</v>
      </c>
      <c r="G185" s="7" t="s">
        <v>16</v>
      </c>
      <c r="H185" s="7" t="s">
        <v>16</v>
      </c>
      <c r="I185" s="13">
        <v>9936438000</v>
      </c>
      <c r="J185" s="14" t="s">
        <v>390</v>
      </c>
      <c r="K185" s="7" t="s">
        <v>358</v>
      </c>
      <c r="L185" s="15">
        <v>4.0999999999999996</v>
      </c>
      <c r="M185" s="15">
        <v>9553</v>
      </c>
      <c r="N185" s="8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>
      <c r="A186" s="6">
        <v>185</v>
      </c>
      <c r="B186" s="7" t="s">
        <v>13</v>
      </c>
      <c r="C186" s="7" t="s">
        <v>14</v>
      </c>
      <c r="D186" s="8" t="s">
        <v>391</v>
      </c>
      <c r="E186" s="7" t="s">
        <v>16</v>
      </c>
      <c r="F186" s="7" t="s">
        <v>16</v>
      </c>
      <c r="G186" s="7" t="s">
        <v>16</v>
      </c>
      <c r="H186" s="7" t="s">
        <v>16</v>
      </c>
      <c r="I186" s="13">
        <v>9005770888</v>
      </c>
      <c r="J186" s="14" t="s">
        <v>392</v>
      </c>
      <c r="K186" s="7" t="s">
        <v>358</v>
      </c>
      <c r="L186" s="15">
        <v>4.3</v>
      </c>
      <c r="M186" s="15">
        <v>1291</v>
      </c>
      <c r="N186" s="8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>
      <c r="A187" s="6">
        <v>186</v>
      </c>
      <c r="B187" s="7" t="s">
        <v>13</v>
      </c>
      <c r="C187" s="7" t="s">
        <v>14</v>
      </c>
      <c r="D187" s="8" t="s">
        <v>393</v>
      </c>
      <c r="E187" s="7" t="s">
        <v>16</v>
      </c>
      <c r="F187" s="7" t="s">
        <v>16</v>
      </c>
      <c r="G187" s="7" t="s">
        <v>16</v>
      </c>
      <c r="H187" s="7" t="s">
        <v>16</v>
      </c>
      <c r="I187" s="13">
        <v>7800780040</v>
      </c>
      <c r="J187" s="14" t="s">
        <v>394</v>
      </c>
      <c r="K187" s="7" t="s">
        <v>358</v>
      </c>
      <c r="L187" s="15">
        <v>4.8</v>
      </c>
      <c r="M187" s="15">
        <v>10</v>
      </c>
      <c r="N187" s="8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>
      <c r="A188" s="6">
        <v>187</v>
      </c>
      <c r="B188" s="7" t="s">
        <v>13</v>
      </c>
      <c r="C188" s="7" t="s">
        <v>14</v>
      </c>
      <c r="D188" s="8" t="s">
        <v>395</v>
      </c>
      <c r="E188" s="7" t="s">
        <v>16</v>
      </c>
      <c r="F188" s="7" t="s">
        <v>16</v>
      </c>
      <c r="G188" s="7" t="s">
        <v>16</v>
      </c>
      <c r="H188" s="7" t="s">
        <v>16</v>
      </c>
      <c r="I188" s="13">
        <v>8957331424</v>
      </c>
      <c r="J188" s="14" t="s">
        <v>396</v>
      </c>
      <c r="K188" s="7" t="s">
        <v>358</v>
      </c>
      <c r="L188" s="15">
        <v>4.3</v>
      </c>
      <c r="M188" s="15">
        <v>1101</v>
      </c>
      <c r="N188" s="8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>
      <c r="A189" s="6">
        <v>188</v>
      </c>
      <c r="B189" s="7" t="s">
        <v>13</v>
      </c>
      <c r="C189" s="7" t="s">
        <v>14</v>
      </c>
      <c r="D189" s="8" t="s">
        <v>397</v>
      </c>
      <c r="E189" s="7" t="s">
        <v>16</v>
      </c>
      <c r="F189" s="7" t="s">
        <v>16</v>
      </c>
      <c r="G189" s="7" t="s">
        <v>16</v>
      </c>
      <c r="H189" s="7" t="s">
        <v>16</v>
      </c>
      <c r="I189" s="13">
        <v>8175956711</v>
      </c>
      <c r="J189" s="14" t="s">
        <v>398</v>
      </c>
      <c r="K189" s="7" t="s">
        <v>358</v>
      </c>
      <c r="L189" s="15">
        <v>4.3</v>
      </c>
      <c r="M189" s="15">
        <v>1558</v>
      </c>
      <c r="N189" s="8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>
      <c r="A190" s="6">
        <v>189</v>
      </c>
      <c r="B190" s="7" t="s">
        <v>13</v>
      </c>
      <c r="C190" s="7" t="s">
        <v>14</v>
      </c>
      <c r="D190" s="8" t="s">
        <v>399</v>
      </c>
      <c r="E190" s="7" t="s">
        <v>16</v>
      </c>
      <c r="F190" s="7" t="s">
        <v>16</v>
      </c>
      <c r="G190" s="7" t="s">
        <v>16</v>
      </c>
      <c r="H190" s="7" t="s">
        <v>16</v>
      </c>
      <c r="I190" s="13">
        <v>7235811114</v>
      </c>
      <c r="J190" s="14" t="s">
        <v>400</v>
      </c>
      <c r="K190" s="7" t="s">
        <v>358</v>
      </c>
      <c r="L190" s="15">
        <v>4.2</v>
      </c>
      <c r="M190" s="15">
        <v>919</v>
      </c>
      <c r="N190" s="8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>
      <c r="A191" s="6">
        <v>190</v>
      </c>
      <c r="B191" s="7" t="s">
        <v>25</v>
      </c>
      <c r="C191" s="7" t="s">
        <v>26</v>
      </c>
      <c r="D191" s="8" t="s">
        <v>401</v>
      </c>
      <c r="E191" s="7" t="s">
        <v>16</v>
      </c>
      <c r="F191" s="7" t="s">
        <v>16</v>
      </c>
      <c r="G191" s="7" t="s">
        <v>16</v>
      </c>
      <c r="H191" s="7" t="s">
        <v>16</v>
      </c>
      <c r="I191" s="13">
        <f>15486006980</f>
        <v>15486006980</v>
      </c>
      <c r="J191" s="16" t="s">
        <v>402</v>
      </c>
      <c r="K191" s="7" t="s">
        <v>403</v>
      </c>
      <c r="L191" s="17">
        <v>0</v>
      </c>
      <c r="M191" s="17">
        <v>0</v>
      </c>
      <c r="N191" s="8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>
      <c r="A192" s="6">
        <v>191</v>
      </c>
      <c r="B192" s="7" t="s">
        <v>25</v>
      </c>
      <c r="C192" s="7" t="s">
        <v>26</v>
      </c>
      <c r="D192" s="8" t="s">
        <v>40</v>
      </c>
      <c r="E192" s="7" t="s">
        <v>16</v>
      </c>
      <c r="F192" s="7" t="s">
        <v>16</v>
      </c>
      <c r="G192" s="7" t="s">
        <v>16</v>
      </c>
      <c r="H192" s="7" t="s">
        <v>16</v>
      </c>
      <c r="I192" s="13">
        <f>12126088866</f>
        <v>12126088866</v>
      </c>
      <c r="J192" s="14" t="s">
        <v>404</v>
      </c>
      <c r="K192" s="7" t="s">
        <v>29</v>
      </c>
      <c r="L192" s="15">
        <v>4.5999999999999996</v>
      </c>
      <c r="M192" s="15">
        <v>17</v>
      </c>
      <c r="N192" s="8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>
      <c r="A193" s="6">
        <v>192</v>
      </c>
      <c r="B193" s="7" t="s">
        <v>25</v>
      </c>
      <c r="C193" s="7" t="s">
        <v>26</v>
      </c>
      <c r="D193" s="8" t="s">
        <v>405</v>
      </c>
      <c r="E193" s="7" t="s">
        <v>16</v>
      </c>
      <c r="F193" s="7" t="s">
        <v>16</v>
      </c>
      <c r="G193" s="7" t="s">
        <v>16</v>
      </c>
      <c r="H193" s="7" t="s">
        <v>16</v>
      </c>
      <c r="I193" s="13">
        <f>12124310099</f>
        <v>12124310099</v>
      </c>
      <c r="J193" s="14" t="s">
        <v>406</v>
      </c>
      <c r="K193" s="7" t="s">
        <v>407</v>
      </c>
      <c r="L193" s="15">
        <v>4.7</v>
      </c>
      <c r="M193" s="15">
        <v>80</v>
      </c>
      <c r="N193" s="8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>
      <c r="A194" s="6">
        <v>193</v>
      </c>
      <c r="B194" s="7" t="s">
        <v>25</v>
      </c>
      <c r="C194" s="7" t="s">
        <v>26</v>
      </c>
      <c r="D194" s="8" t="s">
        <v>330</v>
      </c>
      <c r="E194" s="7" t="s">
        <v>16</v>
      </c>
      <c r="F194" s="7" t="s">
        <v>16</v>
      </c>
      <c r="G194" s="7" t="s">
        <v>16</v>
      </c>
      <c r="H194" s="7" t="s">
        <v>16</v>
      </c>
      <c r="I194" s="13">
        <f>12126751813</f>
        <v>12126751813</v>
      </c>
      <c r="J194" s="14" t="s">
        <v>408</v>
      </c>
      <c r="K194" s="7" t="s">
        <v>325</v>
      </c>
      <c r="L194" s="15">
        <v>4.5</v>
      </c>
      <c r="M194" s="15">
        <v>65</v>
      </c>
      <c r="N194" s="8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>
      <c r="A195" s="6">
        <v>194</v>
      </c>
      <c r="B195" s="7" t="s">
        <v>25</v>
      </c>
      <c r="C195" s="7" t="s">
        <v>26</v>
      </c>
      <c r="D195" s="8" t="s">
        <v>409</v>
      </c>
      <c r="E195" s="7" t="s">
        <v>16</v>
      </c>
      <c r="F195" s="7" t="s">
        <v>16</v>
      </c>
      <c r="G195" s="7" t="s">
        <v>16</v>
      </c>
      <c r="H195" s="7" t="s">
        <v>16</v>
      </c>
      <c r="I195" s="13">
        <f>12122571600</f>
        <v>12122571600</v>
      </c>
      <c r="J195" s="14" t="s">
        <v>410</v>
      </c>
      <c r="K195" s="7" t="s">
        <v>403</v>
      </c>
      <c r="L195" s="15">
        <v>3.5</v>
      </c>
      <c r="M195" s="15">
        <v>264</v>
      </c>
      <c r="N195" s="8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>
      <c r="A196" s="6">
        <v>195</v>
      </c>
      <c r="B196" s="7" t="s">
        <v>13</v>
      </c>
      <c r="C196" s="7" t="s">
        <v>14</v>
      </c>
      <c r="D196" s="8" t="s">
        <v>411</v>
      </c>
      <c r="E196" s="7" t="s">
        <v>16</v>
      </c>
      <c r="F196" s="7" t="s">
        <v>16</v>
      </c>
      <c r="G196" s="7" t="s">
        <v>16</v>
      </c>
      <c r="H196" s="7" t="s">
        <v>16</v>
      </c>
      <c r="I196" s="13">
        <v>5224113801</v>
      </c>
      <c r="J196" s="14" t="s">
        <v>412</v>
      </c>
      <c r="K196" s="7" t="s">
        <v>358</v>
      </c>
      <c r="L196" s="15">
        <v>3.9</v>
      </c>
      <c r="M196" s="15">
        <v>1270</v>
      </c>
      <c r="N196" s="8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>
      <c r="A197" s="6">
        <v>196</v>
      </c>
      <c r="B197" s="7" t="s">
        <v>13</v>
      </c>
      <c r="C197" s="7" t="s">
        <v>14</v>
      </c>
      <c r="D197" s="8" t="s">
        <v>413</v>
      </c>
      <c r="E197" s="7" t="s">
        <v>16</v>
      </c>
      <c r="F197" s="7" t="s">
        <v>16</v>
      </c>
      <c r="G197" s="7" t="s">
        <v>16</v>
      </c>
      <c r="H197" s="7" t="s">
        <v>16</v>
      </c>
      <c r="I197" s="13">
        <v>7318254638</v>
      </c>
      <c r="J197" s="14" t="s">
        <v>414</v>
      </c>
      <c r="K197" s="7" t="s">
        <v>358</v>
      </c>
      <c r="L197" s="15">
        <v>4.4000000000000004</v>
      </c>
      <c r="M197" s="15">
        <v>869</v>
      </c>
      <c r="N197" s="8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>
      <c r="A198" s="6">
        <v>197</v>
      </c>
      <c r="B198" s="7" t="s">
        <v>13</v>
      </c>
      <c r="C198" s="7" t="s">
        <v>14</v>
      </c>
      <c r="D198" s="8" t="s">
        <v>415</v>
      </c>
      <c r="E198" s="7" t="s">
        <v>16</v>
      </c>
      <c r="F198" s="7" t="s">
        <v>16</v>
      </c>
      <c r="G198" s="7" t="s">
        <v>16</v>
      </c>
      <c r="H198" s="7" t="s">
        <v>16</v>
      </c>
      <c r="I198" s="13">
        <v>9115005777</v>
      </c>
      <c r="J198" s="14" t="s">
        <v>416</v>
      </c>
      <c r="K198" s="7" t="s">
        <v>358</v>
      </c>
      <c r="L198" s="15">
        <v>4.5</v>
      </c>
      <c r="M198" s="15">
        <v>5092</v>
      </c>
      <c r="N198" s="8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>
      <c r="A199" s="6">
        <v>198</v>
      </c>
      <c r="B199" s="7" t="s">
        <v>13</v>
      </c>
      <c r="C199" s="7" t="s">
        <v>14</v>
      </c>
      <c r="D199" s="8" t="s">
        <v>417</v>
      </c>
      <c r="E199" s="7" t="s">
        <v>16</v>
      </c>
      <c r="F199" s="7" t="s">
        <v>16</v>
      </c>
      <c r="G199" s="7" t="s">
        <v>16</v>
      </c>
      <c r="H199" s="7" t="s">
        <v>16</v>
      </c>
      <c r="I199" s="13">
        <v>5222620131</v>
      </c>
      <c r="J199" s="14" t="s">
        <v>418</v>
      </c>
      <c r="K199" s="7" t="s">
        <v>358</v>
      </c>
      <c r="L199" s="15">
        <v>4</v>
      </c>
      <c r="M199" s="15">
        <v>723</v>
      </c>
      <c r="N199" s="8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>
      <c r="A200" s="6">
        <v>199</v>
      </c>
      <c r="B200" s="7" t="s">
        <v>13</v>
      </c>
      <c r="C200" s="7" t="s">
        <v>14</v>
      </c>
      <c r="D200" s="8" t="s">
        <v>419</v>
      </c>
      <c r="E200" s="7" t="s">
        <v>16</v>
      </c>
      <c r="F200" s="7" t="s">
        <v>16</v>
      </c>
      <c r="G200" s="7" t="s">
        <v>16</v>
      </c>
      <c r="H200" s="7" t="s">
        <v>16</v>
      </c>
      <c r="I200" s="13">
        <v>9119603535</v>
      </c>
      <c r="J200" s="14" t="s">
        <v>420</v>
      </c>
      <c r="K200" s="7" t="s">
        <v>358</v>
      </c>
      <c r="L200" s="15">
        <v>4.0999999999999996</v>
      </c>
      <c r="M200" s="15">
        <v>1690</v>
      </c>
      <c r="N200" s="8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>
      <c r="A201" s="6">
        <v>200</v>
      </c>
      <c r="B201" s="7" t="s">
        <v>13</v>
      </c>
      <c r="C201" s="7" t="s">
        <v>14</v>
      </c>
      <c r="D201" s="8" t="s">
        <v>421</v>
      </c>
      <c r="E201" s="7" t="s">
        <v>16</v>
      </c>
      <c r="F201" s="7" t="s">
        <v>16</v>
      </c>
      <c r="G201" s="7" t="s">
        <v>16</v>
      </c>
      <c r="H201" s="7" t="s">
        <v>16</v>
      </c>
      <c r="I201" s="13">
        <v>9793115487</v>
      </c>
      <c r="J201" s="9" t="s">
        <v>422</v>
      </c>
      <c r="K201" s="7" t="s">
        <v>213</v>
      </c>
      <c r="L201" s="15">
        <v>4.2</v>
      </c>
      <c r="M201" s="15">
        <v>245</v>
      </c>
      <c r="N201" s="8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>
      <c r="A202" s="6">
        <v>201</v>
      </c>
      <c r="B202" s="7" t="s">
        <v>13</v>
      </c>
      <c r="C202" s="7" t="s">
        <v>14</v>
      </c>
      <c r="D202" s="8" t="s">
        <v>423</v>
      </c>
      <c r="E202" s="7" t="s">
        <v>16</v>
      </c>
      <c r="F202" s="7" t="s">
        <v>16</v>
      </c>
      <c r="G202" s="7" t="s">
        <v>16</v>
      </c>
      <c r="H202" s="7" t="s">
        <v>16</v>
      </c>
      <c r="I202" s="6">
        <v>8318527077</v>
      </c>
      <c r="J202" s="9" t="s">
        <v>424</v>
      </c>
      <c r="K202" s="7" t="s">
        <v>213</v>
      </c>
      <c r="L202" s="15">
        <v>4.4000000000000004</v>
      </c>
      <c r="M202" s="15">
        <v>631</v>
      </c>
      <c r="N202" s="8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>
      <c r="A203" s="6">
        <v>202</v>
      </c>
      <c r="B203" s="7" t="s">
        <v>13</v>
      </c>
      <c r="C203" s="7" t="s">
        <v>14</v>
      </c>
      <c r="D203" s="8" t="s">
        <v>425</v>
      </c>
      <c r="E203" s="7" t="s">
        <v>16</v>
      </c>
      <c r="F203" s="7" t="s">
        <v>16</v>
      </c>
      <c r="G203" s="7" t="s">
        <v>16</v>
      </c>
      <c r="H203" s="7" t="s">
        <v>16</v>
      </c>
      <c r="I203" s="6">
        <v>5224072223</v>
      </c>
      <c r="J203" s="9" t="s">
        <v>426</v>
      </c>
      <c r="K203" s="7" t="s">
        <v>213</v>
      </c>
      <c r="L203" s="15">
        <v>4.0999999999999996</v>
      </c>
      <c r="M203" s="15">
        <v>910</v>
      </c>
      <c r="N203" s="8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>
      <c r="A204" s="6">
        <v>203</v>
      </c>
      <c r="B204" s="7" t="s">
        <v>13</v>
      </c>
      <c r="C204" s="7" t="s">
        <v>14</v>
      </c>
      <c r="D204" s="8" t="s">
        <v>427</v>
      </c>
      <c r="E204" s="7" t="s">
        <v>16</v>
      </c>
      <c r="F204" s="7" t="s">
        <v>16</v>
      </c>
      <c r="G204" s="7" t="s">
        <v>16</v>
      </c>
      <c r="H204" s="7" t="s">
        <v>16</v>
      </c>
      <c r="I204" s="6">
        <v>8182875927</v>
      </c>
      <c r="J204" s="9" t="s">
        <v>428</v>
      </c>
      <c r="K204" s="7" t="s">
        <v>213</v>
      </c>
      <c r="L204" s="15">
        <v>4.2</v>
      </c>
      <c r="M204" s="15">
        <v>825</v>
      </c>
      <c r="N204" s="8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>
      <c r="A205" s="6">
        <v>204</v>
      </c>
      <c r="B205" s="7" t="s">
        <v>13</v>
      </c>
      <c r="C205" s="7" t="s">
        <v>14</v>
      </c>
      <c r="D205" s="8" t="s">
        <v>429</v>
      </c>
      <c r="E205" s="7" t="s">
        <v>16</v>
      </c>
      <c r="F205" s="7" t="s">
        <v>16</v>
      </c>
      <c r="G205" s="7" t="s">
        <v>16</v>
      </c>
      <c r="H205" s="7" t="s">
        <v>16</v>
      </c>
      <c r="I205" s="6">
        <v>9235555780</v>
      </c>
      <c r="J205" s="9" t="s">
        <v>430</v>
      </c>
      <c r="K205" s="7" t="s">
        <v>213</v>
      </c>
      <c r="L205" s="15">
        <v>4</v>
      </c>
      <c r="M205" s="18">
        <v>2175</v>
      </c>
      <c r="N205" s="8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>
      <c r="A206" s="6">
        <v>205</v>
      </c>
      <c r="B206" s="7" t="s">
        <v>13</v>
      </c>
      <c r="C206" s="7" t="s">
        <v>14</v>
      </c>
      <c r="D206" s="8" t="s">
        <v>431</v>
      </c>
      <c r="E206" s="7" t="s">
        <v>16</v>
      </c>
      <c r="F206" s="7" t="s">
        <v>16</v>
      </c>
      <c r="G206" s="7" t="s">
        <v>16</v>
      </c>
      <c r="H206" s="7" t="s">
        <v>16</v>
      </c>
      <c r="I206" s="6">
        <v>9559898355</v>
      </c>
      <c r="J206" s="9" t="s">
        <v>432</v>
      </c>
      <c r="K206" s="7" t="s">
        <v>213</v>
      </c>
      <c r="L206" s="15">
        <v>4</v>
      </c>
      <c r="M206" s="15">
        <v>36</v>
      </c>
      <c r="N206" s="8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>
      <c r="A207" s="6">
        <v>206</v>
      </c>
      <c r="B207" s="7" t="s">
        <v>13</v>
      </c>
      <c r="C207" s="7" t="s">
        <v>14</v>
      </c>
      <c r="D207" s="8" t="s">
        <v>433</v>
      </c>
      <c r="E207" s="7" t="s">
        <v>16</v>
      </c>
      <c r="F207" s="7" t="s">
        <v>16</v>
      </c>
      <c r="G207" s="7" t="s">
        <v>16</v>
      </c>
      <c r="H207" s="7" t="s">
        <v>16</v>
      </c>
      <c r="I207" s="6">
        <v>5224101530</v>
      </c>
      <c r="J207" s="9" t="s">
        <v>434</v>
      </c>
      <c r="K207" s="7" t="s">
        <v>213</v>
      </c>
      <c r="L207" s="15">
        <v>4.0999999999999996</v>
      </c>
      <c r="M207" s="15">
        <v>1148</v>
      </c>
      <c r="N207" s="8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>
      <c r="A208" s="6">
        <v>207</v>
      </c>
      <c r="B208" s="7" t="s">
        <v>13</v>
      </c>
      <c r="C208" s="7" t="s">
        <v>14</v>
      </c>
      <c r="D208" s="8" t="s">
        <v>435</v>
      </c>
      <c r="E208" s="7" t="s">
        <v>16</v>
      </c>
      <c r="F208" s="7" t="s">
        <v>16</v>
      </c>
      <c r="G208" s="7" t="s">
        <v>16</v>
      </c>
      <c r="H208" s="7" t="s">
        <v>16</v>
      </c>
      <c r="I208" s="6">
        <v>7523868301</v>
      </c>
      <c r="J208" s="9" t="s">
        <v>436</v>
      </c>
      <c r="K208" s="7" t="s">
        <v>213</v>
      </c>
      <c r="L208" s="15">
        <v>4.4000000000000004</v>
      </c>
      <c r="M208" s="15">
        <v>8497</v>
      </c>
      <c r="N208" s="8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>
      <c r="A209" s="6">
        <v>208</v>
      </c>
      <c r="B209" s="7" t="s">
        <v>13</v>
      </c>
      <c r="C209" s="7" t="s">
        <v>14</v>
      </c>
      <c r="D209" s="12" t="s">
        <v>437</v>
      </c>
      <c r="E209" s="7" t="s">
        <v>16</v>
      </c>
      <c r="F209" s="7" t="s">
        <v>16</v>
      </c>
      <c r="G209" s="7" t="s">
        <v>16</v>
      </c>
      <c r="H209" s="7" t="s">
        <v>16</v>
      </c>
      <c r="I209" s="6">
        <v>9219906262</v>
      </c>
      <c r="J209" s="9" t="s">
        <v>438</v>
      </c>
      <c r="K209" s="7" t="s">
        <v>213</v>
      </c>
      <c r="L209" s="15">
        <v>4.2</v>
      </c>
      <c r="M209" s="15">
        <v>260</v>
      </c>
      <c r="N209" s="12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>
      <c r="A210" s="6">
        <v>209</v>
      </c>
      <c r="B210" s="7" t="s">
        <v>13</v>
      </c>
      <c r="C210" s="7" t="s">
        <v>14</v>
      </c>
      <c r="D210" s="8" t="s">
        <v>439</v>
      </c>
      <c r="E210" s="7" t="s">
        <v>16</v>
      </c>
      <c r="F210" s="7" t="s">
        <v>16</v>
      </c>
      <c r="G210" s="7" t="s">
        <v>16</v>
      </c>
      <c r="H210" s="7" t="s">
        <v>16</v>
      </c>
      <c r="I210" s="6">
        <v>9565553111</v>
      </c>
      <c r="J210" s="9" t="s">
        <v>440</v>
      </c>
      <c r="K210" s="7" t="s">
        <v>213</v>
      </c>
      <c r="L210" s="15">
        <v>3.8</v>
      </c>
      <c r="M210" s="15">
        <v>60</v>
      </c>
      <c r="N210" s="8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>
      <c r="A211" s="6">
        <v>210</v>
      </c>
      <c r="B211" s="7" t="s">
        <v>25</v>
      </c>
      <c r="C211" s="7" t="s">
        <v>26</v>
      </c>
      <c r="D211" s="8" t="s">
        <v>363</v>
      </c>
      <c r="E211" s="7" t="s">
        <v>16</v>
      </c>
      <c r="F211" s="7" t="s">
        <v>16</v>
      </c>
      <c r="G211" s="7" t="s">
        <v>16</v>
      </c>
      <c r="H211" s="7" t="s">
        <v>16</v>
      </c>
      <c r="I211" s="13">
        <f>12127794422</f>
        <v>12127794422</v>
      </c>
      <c r="J211" s="14" t="s">
        <v>364</v>
      </c>
      <c r="K211" s="7" t="s">
        <v>325</v>
      </c>
      <c r="L211" s="15">
        <v>4.5999999999999996</v>
      </c>
      <c r="M211" s="15">
        <v>66</v>
      </c>
      <c r="N211" s="8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>
      <c r="A212" s="6">
        <v>211</v>
      </c>
      <c r="B212" s="7" t="s">
        <v>25</v>
      </c>
      <c r="C212" s="7" t="s">
        <v>26</v>
      </c>
      <c r="D212" s="8" t="s">
        <v>365</v>
      </c>
      <c r="E212" s="7" t="s">
        <v>16</v>
      </c>
      <c r="F212" s="7" t="s">
        <v>16</v>
      </c>
      <c r="G212" s="7" t="s">
        <v>16</v>
      </c>
      <c r="H212" s="7" t="s">
        <v>16</v>
      </c>
      <c r="I212" s="13">
        <f>12126436789</f>
        <v>12126436789</v>
      </c>
      <c r="J212" s="14" t="s">
        <v>366</v>
      </c>
      <c r="K212" s="7" t="s">
        <v>325</v>
      </c>
      <c r="L212" s="15">
        <v>4</v>
      </c>
      <c r="M212" s="15">
        <v>135</v>
      </c>
      <c r="N212" s="8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>
      <c r="A213" s="6">
        <v>212</v>
      </c>
      <c r="B213" s="7" t="s">
        <v>25</v>
      </c>
      <c r="C213" s="7" t="s">
        <v>26</v>
      </c>
      <c r="D213" s="8" t="s">
        <v>367</v>
      </c>
      <c r="E213" s="7" t="s">
        <v>16</v>
      </c>
      <c r="F213" s="7" t="s">
        <v>16</v>
      </c>
      <c r="G213" s="7" t="s">
        <v>16</v>
      </c>
      <c r="H213" s="7" t="s">
        <v>16</v>
      </c>
      <c r="I213" s="13">
        <f>12129621993</f>
        <v>12129621993</v>
      </c>
      <c r="J213" s="14" t="s">
        <v>368</v>
      </c>
      <c r="K213" s="7" t="s">
        <v>325</v>
      </c>
      <c r="L213" s="15">
        <v>4.0999999999999996</v>
      </c>
      <c r="M213" s="15">
        <v>80</v>
      </c>
      <c r="N213" s="8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>
      <c r="A214" s="6">
        <v>213</v>
      </c>
      <c r="B214" s="7" t="s">
        <v>25</v>
      </c>
      <c r="C214" s="7" t="s">
        <v>26</v>
      </c>
      <c r="D214" s="8" t="s">
        <v>369</v>
      </c>
      <c r="E214" s="7" t="s">
        <v>16</v>
      </c>
      <c r="F214" s="7" t="s">
        <v>16</v>
      </c>
      <c r="G214" s="7" t="s">
        <v>16</v>
      </c>
      <c r="H214" s="7" t="s">
        <v>16</v>
      </c>
      <c r="I214" s="13">
        <f>12122190521</f>
        <v>12122190521</v>
      </c>
      <c r="J214" s="14" t="s">
        <v>370</v>
      </c>
      <c r="K214" s="7" t="s">
        <v>325</v>
      </c>
      <c r="L214" s="15">
        <v>3.7</v>
      </c>
      <c r="M214" s="15">
        <v>28</v>
      </c>
      <c r="N214" s="8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>
      <c r="A215" s="6">
        <v>214</v>
      </c>
      <c r="B215" s="7" t="s">
        <v>25</v>
      </c>
      <c r="C215" s="7" t="s">
        <v>26</v>
      </c>
      <c r="D215" s="8" t="s">
        <v>371</v>
      </c>
      <c r="E215" s="7" t="s">
        <v>16</v>
      </c>
      <c r="F215" s="7" t="s">
        <v>16</v>
      </c>
      <c r="G215" s="7" t="s">
        <v>16</v>
      </c>
      <c r="H215" s="7" t="s">
        <v>16</v>
      </c>
      <c r="I215" s="13">
        <f>12128288839</f>
        <v>12128288839</v>
      </c>
      <c r="J215" s="14" t="s">
        <v>372</v>
      </c>
      <c r="K215" s="7" t="s">
        <v>325</v>
      </c>
      <c r="L215" s="15">
        <v>4.5</v>
      </c>
      <c r="M215" s="15">
        <v>56</v>
      </c>
      <c r="N215" s="8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>
      <c r="A216" s="6">
        <v>215</v>
      </c>
      <c r="B216" s="7" t="s">
        <v>13</v>
      </c>
      <c r="C216" s="7" t="s">
        <v>14</v>
      </c>
      <c r="D216" s="8" t="s">
        <v>441</v>
      </c>
      <c r="E216" s="7" t="s">
        <v>16</v>
      </c>
      <c r="F216" s="7" t="s">
        <v>16</v>
      </c>
      <c r="G216" s="7" t="s">
        <v>16</v>
      </c>
      <c r="H216" s="7" t="s">
        <v>16</v>
      </c>
      <c r="I216" s="6">
        <v>9235604275</v>
      </c>
      <c r="J216" s="9" t="s">
        <v>442</v>
      </c>
      <c r="K216" s="7" t="s">
        <v>213</v>
      </c>
      <c r="L216" s="15">
        <v>4.2</v>
      </c>
      <c r="M216" s="15">
        <v>9</v>
      </c>
      <c r="N216" s="8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>
      <c r="A217" s="6">
        <v>216</v>
      </c>
      <c r="B217" s="7" t="s">
        <v>13</v>
      </c>
      <c r="C217" s="7" t="s">
        <v>14</v>
      </c>
      <c r="D217" s="8" t="s">
        <v>443</v>
      </c>
      <c r="E217" s="7" t="s">
        <v>16</v>
      </c>
      <c r="F217" s="7" t="s">
        <v>16</v>
      </c>
      <c r="G217" s="7" t="s">
        <v>16</v>
      </c>
      <c r="H217" s="7" t="s">
        <v>16</v>
      </c>
      <c r="I217" s="6">
        <v>8097482510</v>
      </c>
      <c r="J217" s="9" t="s">
        <v>444</v>
      </c>
      <c r="K217" s="7" t="s">
        <v>213</v>
      </c>
      <c r="L217" s="15">
        <v>4.3</v>
      </c>
      <c r="M217" s="15">
        <v>31</v>
      </c>
      <c r="N217" s="8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>
      <c r="A218" s="6">
        <v>217</v>
      </c>
      <c r="B218" s="7" t="s">
        <v>13</v>
      </c>
      <c r="C218" s="7" t="s">
        <v>14</v>
      </c>
      <c r="D218" s="8" t="s">
        <v>445</v>
      </c>
      <c r="E218" s="7" t="s">
        <v>16</v>
      </c>
      <c r="F218" s="7" t="s">
        <v>16</v>
      </c>
      <c r="G218" s="7" t="s">
        <v>16</v>
      </c>
      <c r="H218" s="7" t="s">
        <v>16</v>
      </c>
      <c r="I218" s="6">
        <v>9839034133</v>
      </c>
      <c r="J218" s="9" t="s">
        <v>446</v>
      </c>
      <c r="K218" s="7" t="s">
        <v>213</v>
      </c>
      <c r="L218" s="15">
        <v>4</v>
      </c>
      <c r="M218" s="15">
        <v>36</v>
      </c>
      <c r="N218" s="8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>
      <c r="A219" s="6">
        <v>218</v>
      </c>
      <c r="B219" s="7" t="s">
        <v>13</v>
      </c>
      <c r="C219" s="7" t="s">
        <v>14</v>
      </c>
      <c r="D219" s="8" t="s">
        <v>447</v>
      </c>
      <c r="E219" s="7" t="s">
        <v>16</v>
      </c>
      <c r="F219" s="7" t="s">
        <v>16</v>
      </c>
      <c r="G219" s="7" t="s">
        <v>16</v>
      </c>
      <c r="H219" s="7" t="s">
        <v>16</v>
      </c>
      <c r="I219" s="6">
        <v>8840136926</v>
      </c>
      <c r="J219" s="9" t="s">
        <v>448</v>
      </c>
      <c r="K219" s="7" t="s">
        <v>213</v>
      </c>
      <c r="L219" s="15">
        <v>4.8</v>
      </c>
      <c r="M219" s="15">
        <v>22</v>
      </c>
      <c r="N219" s="8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>
      <c r="A220" s="6">
        <v>219</v>
      </c>
      <c r="B220" s="7" t="s">
        <v>13</v>
      </c>
      <c r="C220" s="7" t="s">
        <v>14</v>
      </c>
      <c r="D220" s="8" t="s">
        <v>449</v>
      </c>
      <c r="E220" s="7" t="s">
        <v>16</v>
      </c>
      <c r="F220" s="7" t="s">
        <v>16</v>
      </c>
      <c r="G220" s="7" t="s">
        <v>16</v>
      </c>
      <c r="H220" s="7" t="s">
        <v>16</v>
      </c>
      <c r="I220" s="6">
        <v>9839018384</v>
      </c>
      <c r="J220" s="9" t="s">
        <v>450</v>
      </c>
      <c r="K220" s="7" t="s">
        <v>213</v>
      </c>
      <c r="L220" s="15">
        <v>3.8</v>
      </c>
      <c r="M220" s="15">
        <v>219</v>
      </c>
      <c r="N220" s="8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>
      <c r="A221" s="6">
        <v>220</v>
      </c>
      <c r="B221" s="7" t="s">
        <v>13</v>
      </c>
      <c r="C221" s="7" t="s">
        <v>14</v>
      </c>
      <c r="D221" s="8" t="s">
        <v>451</v>
      </c>
      <c r="E221" s="7" t="s">
        <v>16</v>
      </c>
      <c r="F221" s="7" t="s">
        <v>16</v>
      </c>
      <c r="G221" s="7" t="s">
        <v>16</v>
      </c>
      <c r="H221" s="7" t="s">
        <v>16</v>
      </c>
      <c r="I221" s="6">
        <v>5224010785</v>
      </c>
      <c r="J221" s="9" t="s">
        <v>452</v>
      </c>
      <c r="K221" s="7" t="s">
        <v>213</v>
      </c>
      <c r="L221" s="15">
        <v>3.8</v>
      </c>
      <c r="M221" s="15">
        <v>151</v>
      </c>
      <c r="N221" s="8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>
      <c r="A222" s="6">
        <v>221</v>
      </c>
      <c r="B222" s="7" t="s">
        <v>13</v>
      </c>
      <c r="C222" s="7" t="s">
        <v>14</v>
      </c>
      <c r="D222" s="8" t="s">
        <v>453</v>
      </c>
      <c r="E222" s="7" t="s">
        <v>16</v>
      </c>
      <c r="F222" s="7" t="s">
        <v>16</v>
      </c>
      <c r="G222" s="7" t="s">
        <v>16</v>
      </c>
      <c r="H222" s="7" t="s">
        <v>16</v>
      </c>
      <c r="I222" s="6">
        <v>7985938863</v>
      </c>
      <c r="J222" s="9" t="s">
        <v>454</v>
      </c>
      <c r="K222" s="7" t="s">
        <v>213</v>
      </c>
      <c r="L222" s="15">
        <v>4.3</v>
      </c>
      <c r="M222" s="15">
        <v>36</v>
      </c>
      <c r="N222" s="8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>
      <c r="A223" s="6">
        <v>222</v>
      </c>
      <c r="B223" s="7" t="s">
        <v>13</v>
      </c>
      <c r="C223" s="7" t="s">
        <v>14</v>
      </c>
      <c r="D223" s="8" t="s">
        <v>455</v>
      </c>
      <c r="E223" s="7" t="s">
        <v>16</v>
      </c>
      <c r="F223" s="7" t="s">
        <v>16</v>
      </c>
      <c r="G223" s="7" t="s">
        <v>16</v>
      </c>
      <c r="H223" s="7" t="s">
        <v>16</v>
      </c>
      <c r="I223" s="6">
        <v>6351721810</v>
      </c>
      <c r="J223" s="9" t="s">
        <v>456</v>
      </c>
      <c r="K223" s="7" t="s">
        <v>213</v>
      </c>
      <c r="L223" s="15">
        <v>5</v>
      </c>
      <c r="M223" s="15">
        <v>6</v>
      </c>
      <c r="N223" s="8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>
      <c r="A224" s="6">
        <v>223</v>
      </c>
      <c r="B224" s="7" t="s">
        <v>13</v>
      </c>
      <c r="C224" s="7" t="s">
        <v>14</v>
      </c>
      <c r="D224" s="8" t="s">
        <v>457</v>
      </c>
      <c r="E224" s="7" t="s">
        <v>16</v>
      </c>
      <c r="F224" s="7" t="s">
        <v>16</v>
      </c>
      <c r="G224" s="7" t="s">
        <v>16</v>
      </c>
      <c r="H224" s="7" t="s">
        <v>16</v>
      </c>
      <c r="I224" s="6">
        <v>9889889371</v>
      </c>
      <c r="J224" s="9" t="s">
        <v>458</v>
      </c>
      <c r="K224" s="7" t="s">
        <v>213</v>
      </c>
      <c r="L224" s="15">
        <v>4.2</v>
      </c>
      <c r="M224" s="15">
        <v>39</v>
      </c>
      <c r="N224" s="8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>
      <c r="A225" s="6">
        <v>224</v>
      </c>
      <c r="B225" s="7" t="s">
        <v>13</v>
      </c>
      <c r="C225" s="7" t="s">
        <v>14</v>
      </c>
      <c r="D225" s="8" t="s">
        <v>459</v>
      </c>
      <c r="E225" s="7" t="s">
        <v>16</v>
      </c>
      <c r="F225" s="7" t="s">
        <v>16</v>
      </c>
      <c r="G225" s="7" t="s">
        <v>16</v>
      </c>
      <c r="H225" s="7" t="s">
        <v>16</v>
      </c>
      <c r="I225" s="6">
        <v>7007026220</v>
      </c>
      <c r="J225" s="9" t="s">
        <v>460</v>
      </c>
      <c r="K225" s="7" t="s">
        <v>213</v>
      </c>
      <c r="L225" s="15">
        <v>5</v>
      </c>
      <c r="M225" s="15">
        <v>4</v>
      </c>
      <c r="N225" s="8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>
      <c r="A226" s="6">
        <v>225</v>
      </c>
      <c r="B226" s="7" t="s">
        <v>13</v>
      </c>
      <c r="C226" s="7" t="s">
        <v>14</v>
      </c>
      <c r="D226" s="8" t="s">
        <v>461</v>
      </c>
      <c r="E226" s="7" t="s">
        <v>16</v>
      </c>
      <c r="F226" s="7" t="s">
        <v>16</v>
      </c>
      <c r="G226" s="7" t="s">
        <v>16</v>
      </c>
      <c r="H226" s="7" t="s">
        <v>16</v>
      </c>
      <c r="I226" s="6">
        <v>9336704363</v>
      </c>
      <c r="J226" s="9" t="s">
        <v>462</v>
      </c>
      <c r="K226" s="7" t="s">
        <v>213</v>
      </c>
      <c r="L226" s="15">
        <v>3.9</v>
      </c>
      <c r="M226" s="15">
        <v>34</v>
      </c>
      <c r="N226" s="8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>
      <c r="A227" s="6">
        <v>226</v>
      </c>
      <c r="B227" s="7" t="s">
        <v>13</v>
      </c>
      <c r="C227" s="7" t="s">
        <v>14</v>
      </c>
      <c r="D227" s="8" t="s">
        <v>463</v>
      </c>
      <c r="E227" s="7" t="s">
        <v>16</v>
      </c>
      <c r="F227" s="7" t="s">
        <v>16</v>
      </c>
      <c r="G227" s="7" t="s">
        <v>16</v>
      </c>
      <c r="H227" s="7" t="s">
        <v>16</v>
      </c>
      <c r="I227" s="6">
        <v>7052646764</v>
      </c>
      <c r="J227" s="9" t="s">
        <v>464</v>
      </c>
      <c r="K227" s="7" t="s">
        <v>213</v>
      </c>
      <c r="L227" s="15">
        <v>3.7</v>
      </c>
      <c r="M227" s="15">
        <v>24</v>
      </c>
      <c r="N227" s="8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>
      <c r="A228" s="6">
        <v>227</v>
      </c>
      <c r="B228" s="7" t="s">
        <v>13</v>
      </c>
      <c r="C228" s="7" t="s">
        <v>14</v>
      </c>
      <c r="D228" s="8" t="s">
        <v>465</v>
      </c>
      <c r="E228" s="7" t="s">
        <v>16</v>
      </c>
      <c r="F228" s="7" t="s">
        <v>16</v>
      </c>
      <c r="G228" s="7" t="s">
        <v>16</v>
      </c>
      <c r="H228" s="7" t="s">
        <v>16</v>
      </c>
      <c r="I228" s="6">
        <v>9621454399</v>
      </c>
      <c r="J228" s="9" t="s">
        <v>466</v>
      </c>
      <c r="K228" s="7" t="s">
        <v>213</v>
      </c>
      <c r="L228" s="15">
        <v>5</v>
      </c>
      <c r="M228" s="15">
        <v>3</v>
      </c>
      <c r="N228" s="8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>
      <c r="A229" s="6">
        <v>228</v>
      </c>
      <c r="B229" s="7" t="s">
        <v>13</v>
      </c>
      <c r="C229" s="7" t="s">
        <v>14</v>
      </c>
      <c r="D229" s="8" t="s">
        <v>467</v>
      </c>
      <c r="E229" s="7" t="s">
        <v>16</v>
      </c>
      <c r="F229" s="7" t="s">
        <v>16</v>
      </c>
      <c r="G229" s="7" t="s">
        <v>16</v>
      </c>
      <c r="H229" s="7" t="s">
        <v>16</v>
      </c>
      <c r="I229" s="6">
        <v>8545052079</v>
      </c>
      <c r="J229" s="9" t="s">
        <v>468</v>
      </c>
      <c r="K229" s="7" t="s">
        <v>213</v>
      </c>
      <c r="L229" s="15">
        <v>5</v>
      </c>
      <c r="M229" s="15">
        <v>1</v>
      </c>
      <c r="N229" s="8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>
      <c r="A230" s="6">
        <v>229</v>
      </c>
      <c r="B230" s="7" t="s">
        <v>13</v>
      </c>
      <c r="C230" s="7" t="s">
        <v>14</v>
      </c>
      <c r="D230" s="8" t="s">
        <v>469</v>
      </c>
      <c r="E230" s="7" t="s">
        <v>16</v>
      </c>
      <c r="F230" s="7" t="s">
        <v>16</v>
      </c>
      <c r="G230" s="7" t="s">
        <v>16</v>
      </c>
      <c r="H230" s="7" t="s">
        <v>16</v>
      </c>
      <c r="I230" s="6">
        <v>9889646222</v>
      </c>
      <c r="J230" s="9" t="s">
        <v>470</v>
      </c>
      <c r="K230" s="7" t="s">
        <v>213</v>
      </c>
      <c r="L230" s="15">
        <v>4.9000000000000004</v>
      </c>
      <c r="M230" s="15">
        <v>12</v>
      </c>
      <c r="N230" s="8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>
      <c r="A231" s="6">
        <v>230</v>
      </c>
      <c r="B231" s="7" t="s">
        <v>25</v>
      </c>
      <c r="C231" s="7" t="s">
        <v>26</v>
      </c>
      <c r="D231" s="8" t="s">
        <v>471</v>
      </c>
      <c r="E231" s="7" t="s">
        <v>16</v>
      </c>
      <c r="F231" s="7" t="s">
        <v>16</v>
      </c>
      <c r="G231" s="7" t="s">
        <v>16</v>
      </c>
      <c r="H231" s="7" t="s">
        <v>16</v>
      </c>
      <c r="I231" s="13">
        <f>12126738362</f>
        <v>12126738362</v>
      </c>
      <c r="J231" s="14" t="s">
        <v>472</v>
      </c>
      <c r="K231" s="7" t="s">
        <v>325</v>
      </c>
      <c r="L231" s="15">
        <v>4.3</v>
      </c>
      <c r="M231" s="15">
        <v>15</v>
      </c>
      <c r="N231" s="8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.75" customHeight="1">
      <c r="A232" s="6">
        <v>231</v>
      </c>
      <c r="B232" s="7" t="s">
        <v>25</v>
      </c>
      <c r="C232" s="7" t="s">
        <v>26</v>
      </c>
      <c r="D232" s="8" t="s">
        <v>473</v>
      </c>
      <c r="E232" s="7" t="s">
        <v>16</v>
      </c>
      <c r="F232" s="7" t="s">
        <v>16</v>
      </c>
      <c r="G232" s="7" t="s">
        <v>16</v>
      </c>
      <c r="H232" s="7" t="s">
        <v>16</v>
      </c>
      <c r="I232" s="13">
        <f>12122460187</f>
        <v>12122460187</v>
      </c>
      <c r="J232" s="14" t="s">
        <v>474</v>
      </c>
      <c r="K232" s="7" t="s">
        <v>325</v>
      </c>
      <c r="L232" s="15">
        <v>2.9</v>
      </c>
      <c r="M232" s="15">
        <v>130</v>
      </c>
      <c r="N232" s="8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.75" customHeight="1">
      <c r="A233" s="6">
        <v>232</v>
      </c>
      <c r="B233" s="7" t="s">
        <v>25</v>
      </c>
      <c r="C233" s="7" t="s">
        <v>26</v>
      </c>
      <c r="D233" s="8" t="s">
        <v>475</v>
      </c>
      <c r="E233" s="7" t="s">
        <v>16</v>
      </c>
      <c r="F233" s="7" t="s">
        <v>16</v>
      </c>
      <c r="G233" s="7" t="s">
        <v>16</v>
      </c>
      <c r="H233" s="7" t="s">
        <v>16</v>
      </c>
      <c r="I233" s="13">
        <f>12122550854</f>
        <v>12122550854</v>
      </c>
      <c r="J233" s="14" t="s">
        <v>476</v>
      </c>
      <c r="K233" s="7" t="s">
        <v>325</v>
      </c>
      <c r="L233" s="15">
        <v>4.7</v>
      </c>
      <c r="M233" s="15">
        <v>91</v>
      </c>
      <c r="N233" s="8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.75" customHeight="1">
      <c r="A234" s="6">
        <v>233</v>
      </c>
      <c r="B234" s="7" t="s">
        <v>25</v>
      </c>
      <c r="C234" s="7" t="s">
        <v>26</v>
      </c>
      <c r="D234" s="8" t="s">
        <v>477</v>
      </c>
      <c r="E234" s="7" t="s">
        <v>16</v>
      </c>
      <c r="F234" s="7" t="s">
        <v>16</v>
      </c>
      <c r="G234" s="7" t="s">
        <v>16</v>
      </c>
      <c r="H234" s="7" t="s">
        <v>16</v>
      </c>
      <c r="I234" s="6">
        <f>12125052029</f>
        <v>12125052029</v>
      </c>
      <c r="J234" s="9" t="s">
        <v>478</v>
      </c>
      <c r="K234" s="7" t="s">
        <v>213</v>
      </c>
      <c r="L234" s="15">
        <v>4.4000000000000004</v>
      </c>
      <c r="M234" s="15">
        <v>239</v>
      </c>
      <c r="N234" s="8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.75" customHeight="1">
      <c r="A235" s="6">
        <v>234</v>
      </c>
      <c r="B235" s="7" t="s">
        <v>25</v>
      </c>
      <c r="C235" s="7" t="s">
        <v>26</v>
      </c>
      <c r="D235" s="8" t="s">
        <v>479</v>
      </c>
      <c r="E235" s="7" t="s">
        <v>16</v>
      </c>
      <c r="F235" s="7" t="s">
        <v>16</v>
      </c>
      <c r="G235" s="7" t="s">
        <v>16</v>
      </c>
      <c r="H235" s="7" t="s">
        <v>16</v>
      </c>
      <c r="I235" s="6">
        <f>19172572263</f>
        <v>19172572263</v>
      </c>
      <c r="J235" s="9" t="s">
        <v>480</v>
      </c>
      <c r="K235" s="7" t="s">
        <v>213</v>
      </c>
      <c r="L235" s="15">
        <v>3.9</v>
      </c>
      <c r="M235" s="15">
        <v>29</v>
      </c>
      <c r="N235" s="8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.75" customHeight="1">
      <c r="A236" s="6">
        <v>235</v>
      </c>
      <c r="B236" s="7" t="s">
        <v>13</v>
      </c>
      <c r="C236" s="7" t="s">
        <v>481</v>
      </c>
      <c r="D236" s="8" t="s">
        <v>482</v>
      </c>
      <c r="E236" s="7" t="s">
        <v>16</v>
      </c>
      <c r="F236" s="7" t="s">
        <v>16</v>
      </c>
      <c r="G236" s="7" t="s">
        <v>16</v>
      </c>
      <c r="H236" s="7" t="s">
        <v>16</v>
      </c>
      <c r="I236" s="13">
        <v>8578809997</v>
      </c>
      <c r="J236" s="14" t="s">
        <v>483</v>
      </c>
      <c r="K236" s="7" t="s">
        <v>61</v>
      </c>
      <c r="L236" s="15">
        <v>3.9</v>
      </c>
      <c r="M236" s="15">
        <v>44</v>
      </c>
      <c r="N236" s="8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.75" customHeight="1">
      <c r="A237" s="6">
        <v>236</v>
      </c>
      <c r="B237" s="7" t="s">
        <v>13</v>
      </c>
      <c r="C237" s="7" t="s">
        <v>481</v>
      </c>
      <c r="D237" s="8" t="s">
        <v>484</v>
      </c>
      <c r="E237" s="7" t="s">
        <v>16</v>
      </c>
      <c r="F237" s="7" t="s">
        <v>16</v>
      </c>
      <c r="G237" s="7" t="s">
        <v>16</v>
      </c>
      <c r="H237" s="7" t="s">
        <v>16</v>
      </c>
      <c r="I237" s="13">
        <v>9386063660</v>
      </c>
      <c r="J237" s="14" t="s">
        <v>485</v>
      </c>
      <c r="K237" s="7" t="s">
        <v>61</v>
      </c>
      <c r="L237" s="15">
        <v>4.3</v>
      </c>
      <c r="M237" s="15">
        <v>7</v>
      </c>
      <c r="N237" s="8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.75" customHeight="1">
      <c r="A238" s="6">
        <v>237</v>
      </c>
      <c r="B238" s="7" t="s">
        <v>13</v>
      </c>
      <c r="C238" s="7" t="s">
        <v>481</v>
      </c>
      <c r="D238" s="8" t="s">
        <v>486</v>
      </c>
      <c r="E238" s="7" t="s">
        <v>16</v>
      </c>
      <c r="F238" s="7" t="s">
        <v>16</v>
      </c>
      <c r="G238" s="7" t="s">
        <v>16</v>
      </c>
      <c r="H238" s="7" t="s">
        <v>16</v>
      </c>
      <c r="I238" s="13">
        <v>9934802080</v>
      </c>
      <c r="J238" s="14" t="s">
        <v>487</v>
      </c>
      <c r="K238" s="7" t="s">
        <v>61</v>
      </c>
      <c r="L238" s="15">
        <v>4.3</v>
      </c>
      <c r="M238" s="15">
        <v>28</v>
      </c>
      <c r="N238" s="8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.75" customHeight="1">
      <c r="A239" s="6">
        <v>238</v>
      </c>
      <c r="B239" s="7" t="s">
        <v>13</v>
      </c>
      <c r="C239" s="7" t="s">
        <v>481</v>
      </c>
      <c r="D239" s="8" t="s">
        <v>488</v>
      </c>
      <c r="E239" s="7" t="s">
        <v>16</v>
      </c>
      <c r="F239" s="7" t="s">
        <v>16</v>
      </c>
      <c r="G239" s="7" t="s">
        <v>16</v>
      </c>
      <c r="H239" s="7" t="s">
        <v>16</v>
      </c>
      <c r="I239" s="13">
        <v>9334299958</v>
      </c>
      <c r="J239" s="14" t="s">
        <v>489</v>
      </c>
      <c r="K239" s="7" t="s">
        <v>61</v>
      </c>
      <c r="L239" s="15">
        <v>5</v>
      </c>
      <c r="M239" s="15">
        <v>23</v>
      </c>
      <c r="N239" s="8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.75" customHeight="1">
      <c r="A240" s="6">
        <v>239</v>
      </c>
      <c r="B240" s="7" t="s">
        <v>13</v>
      </c>
      <c r="C240" s="7" t="s">
        <v>481</v>
      </c>
      <c r="D240" s="8" t="s">
        <v>490</v>
      </c>
      <c r="E240" s="7" t="s">
        <v>16</v>
      </c>
      <c r="F240" s="7" t="s">
        <v>16</v>
      </c>
      <c r="G240" s="7" t="s">
        <v>16</v>
      </c>
      <c r="H240" s="7" t="s">
        <v>16</v>
      </c>
      <c r="I240" s="13">
        <v>9304289891</v>
      </c>
      <c r="J240" s="14" t="s">
        <v>491</v>
      </c>
      <c r="K240" s="7" t="s">
        <v>61</v>
      </c>
      <c r="L240" s="15">
        <v>3.9</v>
      </c>
      <c r="M240" s="15">
        <v>21</v>
      </c>
      <c r="N240" s="8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.75" customHeight="1">
      <c r="A241" s="6">
        <v>240</v>
      </c>
      <c r="B241" s="7" t="s">
        <v>13</v>
      </c>
      <c r="C241" s="7" t="s">
        <v>481</v>
      </c>
      <c r="D241" s="8" t="s">
        <v>492</v>
      </c>
      <c r="E241" s="7" t="s">
        <v>16</v>
      </c>
      <c r="F241" s="7" t="s">
        <v>16</v>
      </c>
      <c r="G241" s="7" t="s">
        <v>16</v>
      </c>
      <c r="H241" s="7" t="s">
        <v>16</v>
      </c>
      <c r="I241" s="13">
        <v>8084540455</v>
      </c>
      <c r="J241" s="14" t="s">
        <v>493</v>
      </c>
      <c r="K241" s="7" t="s">
        <v>61</v>
      </c>
      <c r="L241" s="15">
        <v>4.5</v>
      </c>
      <c r="M241" s="15">
        <v>21</v>
      </c>
      <c r="N241" s="8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.75" customHeight="1">
      <c r="A242" s="6">
        <v>241</v>
      </c>
      <c r="B242" s="7" t="s">
        <v>13</v>
      </c>
      <c r="C242" s="7" t="s">
        <v>481</v>
      </c>
      <c r="D242" s="8" t="s">
        <v>494</v>
      </c>
      <c r="E242" s="7" t="s">
        <v>16</v>
      </c>
      <c r="F242" s="7" t="s">
        <v>16</v>
      </c>
      <c r="G242" s="7" t="s">
        <v>16</v>
      </c>
      <c r="H242" s="7" t="s">
        <v>16</v>
      </c>
      <c r="I242" s="13">
        <v>8102224151</v>
      </c>
      <c r="J242" s="9" t="s">
        <v>495</v>
      </c>
      <c r="K242" s="7" t="s">
        <v>61</v>
      </c>
      <c r="L242" s="15">
        <v>4.3</v>
      </c>
      <c r="M242" s="15">
        <v>18</v>
      </c>
      <c r="N242" s="8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.75" customHeight="1">
      <c r="A243" s="6">
        <v>242</v>
      </c>
      <c r="B243" s="7" t="s">
        <v>13</v>
      </c>
      <c r="C243" s="7" t="s">
        <v>481</v>
      </c>
      <c r="D243" s="8" t="s">
        <v>496</v>
      </c>
      <c r="E243" s="7" t="s">
        <v>16</v>
      </c>
      <c r="F243" s="7" t="s">
        <v>16</v>
      </c>
      <c r="G243" s="7" t="s">
        <v>16</v>
      </c>
      <c r="H243" s="7" t="s">
        <v>16</v>
      </c>
      <c r="I243" s="6">
        <v>9939250484</v>
      </c>
      <c r="J243" s="9" t="s">
        <v>497</v>
      </c>
      <c r="K243" s="7" t="s">
        <v>61</v>
      </c>
      <c r="L243" s="15">
        <v>4.8</v>
      </c>
      <c r="M243" s="15">
        <v>9</v>
      </c>
      <c r="N243" s="8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.75" customHeight="1">
      <c r="A244" s="6">
        <v>243</v>
      </c>
      <c r="B244" s="7" t="s">
        <v>13</v>
      </c>
      <c r="C244" s="7" t="s">
        <v>481</v>
      </c>
      <c r="D244" s="8" t="s">
        <v>498</v>
      </c>
      <c r="E244" s="7" t="s">
        <v>16</v>
      </c>
      <c r="F244" s="7" t="s">
        <v>16</v>
      </c>
      <c r="G244" s="7" t="s">
        <v>16</v>
      </c>
      <c r="H244" s="7" t="s">
        <v>16</v>
      </c>
      <c r="I244" s="6">
        <v>9835286712</v>
      </c>
      <c r="J244" s="9" t="s">
        <v>499</v>
      </c>
      <c r="K244" s="7" t="s">
        <v>61</v>
      </c>
      <c r="L244" s="15">
        <v>4.5999999999999996</v>
      </c>
      <c r="M244" s="15">
        <v>5</v>
      </c>
      <c r="N244" s="8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>
      <c r="A245" s="6">
        <v>244</v>
      </c>
      <c r="B245" s="7" t="s">
        <v>13</v>
      </c>
      <c r="C245" s="7" t="s">
        <v>481</v>
      </c>
      <c r="D245" s="8" t="s">
        <v>500</v>
      </c>
      <c r="E245" s="7" t="s">
        <v>16</v>
      </c>
      <c r="F245" s="7" t="s">
        <v>16</v>
      </c>
      <c r="G245" s="7" t="s">
        <v>16</v>
      </c>
      <c r="H245" s="7" t="s">
        <v>16</v>
      </c>
      <c r="I245" s="6">
        <v>6122281025</v>
      </c>
      <c r="J245" s="9" t="s">
        <v>501</v>
      </c>
      <c r="K245" s="7" t="s">
        <v>61</v>
      </c>
      <c r="L245" s="15">
        <v>4</v>
      </c>
      <c r="M245" s="15">
        <v>11</v>
      </c>
      <c r="N245" s="8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.75" customHeight="1">
      <c r="A246" s="6">
        <v>245</v>
      </c>
      <c r="B246" s="7" t="s">
        <v>13</v>
      </c>
      <c r="C246" s="7" t="s">
        <v>481</v>
      </c>
      <c r="D246" s="8" t="s">
        <v>502</v>
      </c>
      <c r="E246" s="7" t="s">
        <v>16</v>
      </c>
      <c r="F246" s="7" t="s">
        <v>16</v>
      </c>
      <c r="G246" s="7" t="s">
        <v>16</v>
      </c>
      <c r="H246" s="7" t="s">
        <v>16</v>
      </c>
      <c r="I246" s="6">
        <v>9608245629</v>
      </c>
      <c r="J246" s="9" t="s">
        <v>503</v>
      </c>
      <c r="K246" s="7" t="s">
        <v>61</v>
      </c>
      <c r="L246" s="15">
        <v>4</v>
      </c>
      <c r="M246" s="15">
        <v>6</v>
      </c>
      <c r="N246" s="8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.75" customHeight="1">
      <c r="A247" s="6">
        <v>246</v>
      </c>
      <c r="B247" s="7" t="s">
        <v>13</v>
      </c>
      <c r="C247" s="7" t="s">
        <v>481</v>
      </c>
      <c r="D247" s="8" t="s">
        <v>504</v>
      </c>
      <c r="E247" s="7" t="s">
        <v>16</v>
      </c>
      <c r="F247" s="7" t="s">
        <v>16</v>
      </c>
      <c r="G247" s="7" t="s">
        <v>16</v>
      </c>
      <c r="H247" s="7" t="s">
        <v>16</v>
      </c>
      <c r="I247" s="6">
        <v>9113305192</v>
      </c>
      <c r="J247" s="9" t="s">
        <v>505</v>
      </c>
      <c r="K247" s="7" t="s">
        <v>61</v>
      </c>
      <c r="L247" s="15">
        <v>4.7</v>
      </c>
      <c r="M247" s="15">
        <v>3</v>
      </c>
      <c r="N247" s="8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.75" customHeight="1">
      <c r="A248" s="6">
        <v>247</v>
      </c>
      <c r="B248" s="7" t="s">
        <v>13</v>
      </c>
      <c r="C248" s="7" t="s">
        <v>481</v>
      </c>
      <c r="D248" s="8" t="s">
        <v>506</v>
      </c>
      <c r="E248" s="7" t="s">
        <v>16</v>
      </c>
      <c r="F248" s="7" t="s">
        <v>16</v>
      </c>
      <c r="G248" s="7" t="s">
        <v>16</v>
      </c>
      <c r="H248" s="7" t="s">
        <v>16</v>
      </c>
      <c r="I248" s="6">
        <v>7004996603</v>
      </c>
      <c r="J248" s="9" t="s">
        <v>507</v>
      </c>
      <c r="K248" s="7" t="s">
        <v>61</v>
      </c>
      <c r="L248" s="15">
        <v>3.8</v>
      </c>
      <c r="M248" s="15">
        <v>56</v>
      </c>
      <c r="N248" s="8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.75" customHeight="1">
      <c r="A249" s="6">
        <v>248</v>
      </c>
      <c r="B249" s="7" t="s">
        <v>13</v>
      </c>
      <c r="C249" s="7" t="s">
        <v>481</v>
      </c>
      <c r="D249" s="8" t="s">
        <v>508</v>
      </c>
      <c r="E249" s="7" t="s">
        <v>16</v>
      </c>
      <c r="F249" s="7" t="s">
        <v>16</v>
      </c>
      <c r="G249" s="7" t="s">
        <v>16</v>
      </c>
      <c r="H249" s="7" t="s">
        <v>16</v>
      </c>
      <c r="I249" s="6">
        <v>9386803691</v>
      </c>
      <c r="J249" s="9" t="s">
        <v>509</v>
      </c>
      <c r="K249" s="7" t="s">
        <v>61</v>
      </c>
      <c r="L249" s="15">
        <v>4</v>
      </c>
      <c r="M249" s="15">
        <v>8</v>
      </c>
      <c r="N249" s="8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.75" customHeight="1">
      <c r="A250" s="6">
        <v>249</v>
      </c>
      <c r="B250" s="7" t="s">
        <v>13</v>
      </c>
      <c r="C250" s="7" t="s">
        <v>481</v>
      </c>
      <c r="D250" s="8" t="s">
        <v>510</v>
      </c>
      <c r="E250" s="7" t="s">
        <v>16</v>
      </c>
      <c r="F250" s="7" t="s">
        <v>16</v>
      </c>
      <c r="G250" s="7" t="s">
        <v>16</v>
      </c>
      <c r="H250" s="7" t="s">
        <v>16</v>
      </c>
      <c r="I250" s="6">
        <v>9801835490</v>
      </c>
      <c r="J250" s="9" t="s">
        <v>511</v>
      </c>
      <c r="K250" s="7" t="s">
        <v>61</v>
      </c>
      <c r="L250" s="15">
        <v>3.9</v>
      </c>
      <c r="M250" s="15">
        <v>18</v>
      </c>
      <c r="N250" s="8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.75" customHeight="1">
      <c r="A251" s="6">
        <v>250</v>
      </c>
      <c r="B251" s="7" t="s">
        <v>25</v>
      </c>
      <c r="C251" s="7" t="s">
        <v>26</v>
      </c>
      <c r="D251" s="8" t="s">
        <v>512</v>
      </c>
      <c r="E251" s="7" t="s">
        <v>16</v>
      </c>
      <c r="F251" s="7" t="s">
        <v>16</v>
      </c>
      <c r="G251" s="7" t="s">
        <v>16</v>
      </c>
      <c r="H251" s="7" t="s">
        <v>16</v>
      </c>
      <c r="I251" s="6">
        <f>12126747341</f>
        <v>12126747341</v>
      </c>
      <c r="J251" s="9" t="s">
        <v>513</v>
      </c>
      <c r="K251" s="7" t="s">
        <v>242</v>
      </c>
      <c r="L251" s="15">
        <v>4.0999999999999996</v>
      </c>
      <c r="M251" s="15">
        <v>172</v>
      </c>
      <c r="N251" s="8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.75" customHeight="1">
      <c r="A252" s="6">
        <v>251</v>
      </c>
      <c r="B252" s="7" t="s">
        <v>25</v>
      </c>
      <c r="C252" s="7" t="s">
        <v>26</v>
      </c>
      <c r="D252" s="8" t="s">
        <v>514</v>
      </c>
      <c r="E252" s="7" t="s">
        <v>16</v>
      </c>
      <c r="F252" s="7" t="s">
        <v>16</v>
      </c>
      <c r="G252" s="7" t="s">
        <v>16</v>
      </c>
      <c r="H252" s="7" t="s">
        <v>16</v>
      </c>
      <c r="I252" s="6">
        <f>12124774654</f>
        <v>12124774654</v>
      </c>
      <c r="J252" s="9" t="s">
        <v>515</v>
      </c>
      <c r="K252" s="7" t="s">
        <v>242</v>
      </c>
      <c r="L252" s="15">
        <v>4.9000000000000004</v>
      </c>
      <c r="M252" s="15">
        <v>25</v>
      </c>
      <c r="N252" s="8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.75" customHeight="1">
      <c r="A253" s="6">
        <v>252</v>
      </c>
      <c r="B253" s="7" t="s">
        <v>25</v>
      </c>
      <c r="C253" s="7" t="s">
        <v>26</v>
      </c>
      <c r="D253" s="8" t="s">
        <v>516</v>
      </c>
      <c r="E253" s="7" t="s">
        <v>16</v>
      </c>
      <c r="F253" s="7" t="s">
        <v>16</v>
      </c>
      <c r="G253" s="7" t="s">
        <v>16</v>
      </c>
      <c r="H253" s="7" t="s">
        <v>16</v>
      </c>
      <c r="I253" s="6">
        <f>19179383985</f>
        <v>19179383985</v>
      </c>
      <c r="J253" s="9" t="s">
        <v>517</v>
      </c>
      <c r="K253" s="7" t="s">
        <v>242</v>
      </c>
      <c r="L253" s="15">
        <v>4.5</v>
      </c>
      <c r="M253" s="15">
        <v>51</v>
      </c>
      <c r="N253" s="8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.75" customHeight="1">
      <c r="A254" s="6">
        <v>253</v>
      </c>
      <c r="B254" s="7" t="s">
        <v>25</v>
      </c>
      <c r="C254" s="7" t="s">
        <v>26</v>
      </c>
      <c r="D254" s="8" t="s">
        <v>518</v>
      </c>
      <c r="E254" s="7" t="s">
        <v>16</v>
      </c>
      <c r="F254" s="7" t="s">
        <v>16</v>
      </c>
      <c r="G254" s="7" t="s">
        <v>16</v>
      </c>
      <c r="H254" s="7" t="s">
        <v>16</v>
      </c>
      <c r="I254" s="6">
        <f>12122283986</f>
        <v>12122283986</v>
      </c>
      <c r="J254" s="9" t="s">
        <v>519</v>
      </c>
      <c r="K254" s="7" t="s">
        <v>242</v>
      </c>
      <c r="L254" s="15">
        <v>4.5999999999999996</v>
      </c>
      <c r="M254" s="15">
        <v>33</v>
      </c>
      <c r="N254" s="8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.75" customHeight="1">
      <c r="A255" s="6">
        <v>254</v>
      </c>
      <c r="B255" s="7" t="s">
        <v>25</v>
      </c>
      <c r="C255" s="7" t="s">
        <v>26</v>
      </c>
      <c r="D255" s="8" t="s">
        <v>520</v>
      </c>
      <c r="E255" s="7" t="s">
        <v>16</v>
      </c>
      <c r="F255" s="7" t="s">
        <v>16</v>
      </c>
      <c r="G255" s="7" t="s">
        <v>16</v>
      </c>
      <c r="H255" s="7" t="s">
        <v>16</v>
      </c>
      <c r="I255" s="6">
        <f>16462718905</f>
        <v>16462718905</v>
      </c>
      <c r="J255" s="9" t="s">
        <v>521</v>
      </c>
      <c r="K255" s="7" t="s">
        <v>242</v>
      </c>
      <c r="L255" s="15">
        <v>4.5</v>
      </c>
      <c r="M255" s="15">
        <v>71</v>
      </c>
      <c r="N255" s="8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5.75" customHeight="1">
      <c r="A256" s="6">
        <v>255</v>
      </c>
      <c r="B256" s="7" t="s">
        <v>13</v>
      </c>
      <c r="C256" s="7" t="s">
        <v>481</v>
      </c>
      <c r="D256" s="8" t="s">
        <v>522</v>
      </c>
      <c r="E256" s="7" t="s">
        <v>16</v>
      </c>
      <c r="F256" s="7" t="s">
        <v>16</v>
      </c>
      <c r="G256" s="7" t="s">
        <v>16</v>
      </c>
      <c r="H256" s="7" t="s">
        <v>16</v>
      </c>
      <c r="I256" s="6">
        <v>9304398435</v>
      </c>
      <c r="J256" s="9" t="s">
        <v>523</v>
      </c>
      <c r="K256" s="7" t="s">
        <v>61</v>
      </c>
      <c r="L256" s="15">
        <v>5</v>
      </c>
      <c r="M256" s="15">
        <v>138</v>
      </c>
      <c r="N256" s="8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5.75" customHeight="1">
      <c r="A257" s="6">
        <v>256</v>
      </c>
      <c r="B257" s="7" t="s">
        <v>13</v>
      </c>
      <c r="C257" s="7" t="s">
        <v>481</v>
      </c>
      <c r="D257" s="8" t="s">
        <v>524</v>
      </c>
      <c r="E257" s="7" t="s">
        <v>16</v>
      </c>
      <c r="F257" s="7" t="s">
        <v>16</v>
      </c>
      <c r="G257" s="7" t="s">
        <v>16</v>
      </c>
      <c r="H257" s="7" t="s">
        <v>16</v>
      </c>
      <c r="I257" s="6">
        <v>7768030303</v>
      </c>
      <c r="J257" s="9" t="s">
        <v>525</v>
      </c>
      <c r="K257" s="7" t="s">
        <v>61</v>
      </c>
      <c r="L257" s="15">
        <v>4.8</v>
      </c>
      <c r="M257" s="15">
        <v>236</v>
      </c>
      <c r="N257" s="8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5.75" customHeight="1">
      <c r="A258" s="6">
        <v>257</v>
      </c>
      <c r="B258" s="7" t="s">
        <v>13</v>
      </c>
      <c r="C258" s="7" t="s">
        <v>481</v>
      </c>
      <c r="D258" s="7" t="s">
        <v>526</v>
      </c>
      <c r="E258" s="7" t="s">
        <v>16</v>
      </c>
      <c r="F258" s="7" t="s">
        <v>16</v>
      </c>
      <c r="G258" s="7" t="s">
        <v>16</v>
      </c>
      <c r="H258" s="7" t="s">
        <v>16</v>
      </c>
      <c r="I258" s="6">
        <v>9334083440</v>
      </c>
      <c r="J258" s="9" t="s">
        <v>527</v>
      </c>
      <c r="K258" s="7" t="s">
        <v>61</v>
      </c>
      <c r="L258" s="15">
        <v>4.5</v>
      </c>
      <c r="M258" s="15">
        <v>27</v>
      </c>
      <c r="N258" s="7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5.75" customHeight="1">
      <c r="A259" s="6">
        <v>258</v>
      </c>
      <c r="B259" s="7" t="s">
        <v>13</v>
      </c>
      <c r="C259" s="7" t="s">
        <v>481</v>
      </c>
      <c r="D259" s="8" t="s">
        <v>528</v>
      </c>
      <c r="E259" s="7" t="s">
        <v>16</v>
      </c>
      <c r="F259" s="7" t="s">
        <v>16</v>
      </c>
      <c r="G259" s="7" t="s">
        <v>16</v>
      </c>
      <c r="H259" s="7" t="s">
        <v>16</v>
      </c>
      <c r="I259" s="6">
        <v>9117177771</v>
      </c>
      <c r="J259" s="9" t="s">
        <v>529</v>
      </c>
      <c r="K259" s="7" t="s">
        <v>61</v>
      </c>
      <c r="L259" s="15">
        <v>4.7</v>
      </c>
      <c r="M259" s="15">
        <v>161</v>
      </c>
      <c r="N259" s="8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5.75" customHeight="1">
      <c r="A260" s="6">
        <v>259</v>
      </c>
      <c r="B260" s="7" t="s">
        <v>13</v>
      </c>
      <c r="C260" s="7" t="s">
        <v>481</v>
      </c>
      <c r="D260" s="8" t="s">
        <v>530</v>
      </c>
      <c r="E260" s="7" t="s">
        <v>16</v>
      </c>
      <c r="F260" s="7" t="s">
        <v>16</v>
      </c>
      <c r="G260" s="7" t="s">
        <v>16</v>
      </c>
      <c r="H260" s="7" t="s">
        <v>16</v>
      </c>
      <c r="I260" s="6">
        <v>8092210210</v>
      </c>
      <c r="J260" s="9" t="s">
        <v>531</v>
      </c>
      <c r="K260" s="7" t="s">
        <v>61</v>
      </c>
      <c r="L260" s="15">
        <v>4.9000000000000004</v>
      </c>
      <c r="M260" s="15">
        <v>59</v>
      </c>
      <c r="N260" s="8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5.75" customHeight="1">
      <c r="A261" s="6">
        <v>260</v>
      </c>
      <c r="B261" s="7" t="s">
        <v>13</v>
      </c>
      <c r="C261" s="7" t="s">
        <v>481</v>
      </c>
      <c r="D261" s="8" t="s">
        <v>532</v>
      </c>
      <c r="E261" s="7" t="s">
        <v>16</v>
      </c>
      <c r="F261" s="7" t="s">
        <v>16</v>
      </c>
      <c r="G261" s="7" t="s">
        <v>16</v>
      </c>
      <c r="H261" s="7" t="s">
        <v>16</v>
      </c>
      <c r="I261" s="6">
        <v>9430270997</v>
      </c>
      <c r="J261" s="9" t="s">
        <v>533</v>
      </c>
      <c r="K261" s="7" t="s">
        <v>61</v>
      </c>
      <c r="L261" s="15">
        <v>3.6</v>
      </c>
      <c r="M261" s="15">
        <v>54</v>
      </c>
      <c r="N261" s="8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5.75" customHeight="1">
      <c r="A262" s="6">
        <v>261</v>
      </c>
      <c r="B262" s="7" t="s">
        <v>13</v>
      </c>
      <c r="C262" s="7" t="s">
        <v>481</v>
      </c>
      <c r="D262" s="8" t="s">
        <v>534</v>
      </c>
      <c r="E262" s="7" t="s">
        <v>16</v>
      </c>
      <c r="F262" s="7" t="s">
        <v>16</v>
      </c>
      <c r="G262" s="7" t="s">
        <v>16</v>
      </c>
      <c r="H262" s="7" t="s">
        <v>16</v>
      </c>
      <c r="I262" s="6">
        <v>9931714161</v>
      </c>
      <c r="J262" s="9" t="s">
        <v>535</v>
      </c>
      <c r="K262" s="7" t="s">
        <v>61</v>
      </c>
      <c r="L262" s="15">
        <v>4</v>
      </c>
      <c r="M262" s="15">
        <v>26</v>
      </c>
      <c r="N262" s="8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5.75" customHeight="1">
      <c r="A263" s="6">
        <v>262</v>
      </c>
      <c r="B263" s="7" t="s">
        <v>13</v>
      </c>
      <c r="C263" s="7" t="s">
        <v>481</v>
      </c>
      <c r="D263" s="8" t="s">
        <v>536</v>
      </c>
      <c r="E263" s="7" t="s">
        <v>16</v>
      </c>
      <c r="F263" s="7" t="s">
        <v>16</v>
      </c>
      <c r="G263" s="7" t="s">
        <v>16</v>
      </c>
      <c r="H263" s="7" t="s">
        <v>16</v>
      </c>
      <c r="I263" s="6">
        <v>8434744899</v>
      </c>
      <c r="J263" s="9" t="s">
        <v>537</v>
      </c>
      <c r="K263" s="7" t="s">
        <v>61</v>
      </c>
      <c r="L263" s="15">
        <v>4.8</v>
      </c>
      <c r="M263" s="15">
        <v>23</v>
      </c>
      <c r="N263" s="8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5.75" customHeight="1">
      <c r="A264" s="6">
        <v>263</v>
      </c>
      <c r="B264" s="7" t="s">
        <v>13</v>
      </c>
      <c r="C264" s="7" t="s">
        <v>481</v>
      </c>
      <c r="D264" s="8" t="s">
        <v>538</v>
      </c>
      <c r="E264" s="7" t="s">
        <v>16</v>
      </c>
      <c r="F264" s="7" t="s">
        <v>16</v>
      </c>
      <c r="G264" s="7" t="s">
        <v>16</v>
      </c>
      <c r="H264" s="7" t="s">
        <v>16</v>
      </c>
      <c r="I264" s="6">
        <v>8252220418</v>
      </c>
      <c r="J264" s="9" t="s">
        <v>539</v>
      </c>
      <c r="K264" s="7" t="s">
        <v>61</v>
      </c>
      <c r="L264" s="15">
        <v>4.7</v>
      </c>
      <c r="M264" s="15">
        <v>92</v>
      </c>
      <c r="N264" s="8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5.75" customHeight="1">
      <c r="A265" s="6">
        <v>264</v>
      </c>
      <c r="B265" s="7" t="s">
        <v>13</v>
      </c>
      <c r="C265" s="7" t="s">
        <v>481</v>
      </c>
      <c r="D265" s="8" t="s">
        <v>540</v>
      </c>
      <c r="E265" s="7" t="s">
        <v>16</v>
      </c>
      <c r="F265" s="7" t="s">
        <v>16</v>
      </c>
      <c r="G265" s="7" t="s">
        <v>16</v>
      </c>
      <c r="H265" s="7" t="s">
        <v>16</v>
      </c>
      <c r="I265" s="6">
        <v>9771407251</v>
      </c>
      <c r="J265" s="9" t="s">
        <v>541</v>
      </c>
      <c r="K265" s="7" t="s">
        <v>61</v>
      </c>
      <c r="L265" s="15">
        <v>4.7</v>
      </c>
      <c r="M265" s="15">
        <v>12</v>
      </c>
      <c r="N265" s="8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5.75" customHeight="1">
      <c r="A266" s="6">
        <v>265</v>
      </c>
      <c r="B266" s="7" t="s">
        <v>13</v>
      </c>
      <c r="C266" s="7" t="s">
        <v>481</v>
      </c>
      <c r="D266" s="8" t="s">
        <v>542</v>
      </c>
      <c r="E266" s="7" t="s">
        <v>16</v>
      </c>
      <c r="F266" s="7" t="s">
        <v>16</v>
      </c>
      <c r="G266" s="7" t="s">
        <v>16</v>
      </c>
      <c r="H266" s="7" t="s">
        <v>16</v>
      </c>
      <c r="I266" s="6">
        <v>8340499972</v>
      </c>
      <c r="J266" s="9" t="s">
        <v>543</v>
      </c>
      <c r="K266" s="7" t="s">
        <v>61</v>
      </c>
      <c r="L266" s="15">
        <v>4.2</v>
      </c>
      <c r="M266" s="15">
        <v>36</v>
      </c>
      <c r="N266" s="8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5.75" customHeight="1">
      <c r="A267" s="6">
        <v>266</v>
      </c>
      <c r="B267" s="7" t="s">
        <v>13</v>
      </c>
      <c r="C267" s="7" t="s">
        <v>481</v>
      </c>
      <c r="D267" s="8" t="s">
        <v>544</v>
      </c>
      <c r="E267" s="7" t="s">
        <v>16</v>
      </c>
      <c r="F267" s="7" t="s">
        <v>16</v>
      </c>
      <c r="G267" s="7" t="s">
        <v>16</v>
      </c>
      <c r="H267" s="7" t="s">
        <v>16</v>
      </c>
      <c r="I267" s="6">
        <v>9431493121</v>
      </c>
      <c r="J267" s="9" t="s">
        <v>545</v>
      </c>
      <c r="K267" s="7" t="s">
        <v>61</v>
      </c>
      <c r="L267" s="15">
        <v>4.3</v>
      </c>
      <c r="M267" s="15">
        <v>16</v>
      </c>
      <c r="N267" s="8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5.75" customHeight="1">
      <c r="A268" s="6">
        <v>267</v>
      </c>
      <c r="B268" s="7" t="s">
        <v>13</v>
      </c>
      <c r="C268" s="7" t="s">
        <v>481</v>
      </c>
      <c r="D268" s="8" t="s">
        <v>546</v>
      </c>
      <c r="E268" s="7" t="s">
        <v>16</v>
      </c>
      <c r="F268" s="7" t="s">
        <v>16</v>
      </c>
      <c r="G268" s="7" t="s">
        <v>16</v>
      </c>
      <c r="H268" s="7" t="s">
        <v>16</v>
      </c>
      <c r="I268" s="6">
        <v>6201374184</v>
      </c>
      <c r="J268" s="9" t="s">
        <v>547</v>
      </c>
      <c r="K268" s="7" t="s">
        <v>61</v>
      </c>
      <c r="L268" s="15">
        <v>4.7</v>
      </c>
      <c r="M268" s="15">
        <v>14</v>
      </c>
      <c r="N268" s="8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5.75" customHeight="1">
      <c r="A269" s="6">
        <v>268</v>
      </c>
      <c r="B269" s="7" t="s">
        <v>13</v>
      </c>
      <c r="C269" s="7" t="s">
        <v>481</v>
      </c>
      <c r="D269" s="8" t="s">
        <v>548</v>
      </c>
      <c r="E269" s="7" t="s">
        <v>16</v>
      </c>
      <c r="F269" s="7" t="s">
        <v>16</v>
      </c>
      <c r="G269" s="7" t="s">
        <v>16</v>
      </c>
      <c r="H269" s="7" t="s">
        <v>16</v>
      </c>
      <c r="I269" s="6">
        <v>7992310993</v>
      </c>
      <c r="J269" s="9" t="s">
        <v>549</v>
      </c>
      <c r="K269" s="7" t="s">
        <v>61</v>
      </c>
      <c r="L269" s="15">
        <v>4.8</v>
      </c>
      <c r="M269" s="15">
        <v>4</v>
      </c>
      <c r="N269" s="8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5.75" customHeight="1">
      <c r="A270" s="6">
        <v>269</v>
      </c>
      <c r="B270" s="7" t="s">
        <v>13</v>
      </c>
      <c r="C270" s="7" t="s">
        <v>481</v>
      </c>
      <c r="D270" s="8" t="s">
        <v>550</v>
      </c>
      <c r="E270" s="7" t="s">
        <v>16</v>
      </c>
      <c r="F270" s="7" t="s">
        <v>16</v>
      </c>
      <c r="G270" s="7" t="s">
        <v>16</v>
      </c>
      <c r="H270" s="7" t="s">
        <v>16</v>
      </c>
      <c r="I270" s="6">
        <v>9693204765</v>
      </c>
      <c r="J270" s="9" t="s">
        <v>551</v>
      </c>
      <c r="K270" s="7" t="s">
        <v>61</v>
      </c>
      <c r="L270" s="15">
        <v>3.8</v>
      </c>
      <c r="M270" s="15">
        <v>63</v>
      </c>
      <c r="N270" s="8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5.75" customHeight="1">
      <c r="A271" s="6">
        <v>270</v>
      </c>
      <c r="B271" s="7" t="s">
        <v>25</v>
      </c>
      <c r="C271" s="7" t="s">
        <v>26</v>
      </c>
      <c r="D271" s="8" t="s">
        <v>552</v>
      </c>
      <c r="E271" s="7" t="s">
        <v>16</v>
      </c>
      <c r="F271" s="7" t="s">
        <v>16</v>
      </c>
      <c r="G271" s="7" t="s">
        <v>16</v>
      </c>
      <c r="H271" s="7" t="s">
        <v>16</v>
      </c>
      <c r="I271" s="13">
        <f>12122541151</f>
        <v>12122541151</v>
      </c>
      <c r="J271" s="14" t="s">
        <v>553</v>
      </c>
      <c r="K271" s="7" t="s">
        <v>242</v>
      </c>
      <c r="L271" s="15">
        <v>4.5</v>
      </c>
      <c r="M271" s="15">
        <v>82</v>
      </c>
      <c r="N271" s="8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5.75" customHeight="1">
      <c r="A272" s="6">
        <v>271</v>
      </c>
      <c r="B272" s="7" t="s">
        <v>25</v>
      </c>
      <c r="C272" s="7" t="s">
        <v>26</v>
      </c>
      <c r="D272" s="8" t="s">
        <v>554</v>
      </c>
      <c r="E272" s="7" t="s">
        <v>16</v>
      </c>
      <c r="F272" s="7" t="s">
        <v>16</v>
      </c>
      <c r="G272" s="7" t="s">
        <v>16</v>
      </c>
      <c r="H272" s="7" t="s">
        <v>16</v>
      </c>
      <c r="I272" s="13">
        <f>12128976543</f>
        <v>12128976543</v>
      </c>
      <c r="J272" s="14" t="s">
        <v>555</v>
      </c>
      <c r="K272" s="7" t="s">
        <v>242</v>
      </c>
      <c r="L272" s="15">
        <v>4.5999999999999996</v>
      </c>
      <c r="M272" s="15">
        <v>58</v>
      </c>
      <c r="N272" s="8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5.75" customHeight="1">
      <c r="A273" s="6">
        <v>272</v>
      </c>
      <c r="B273" s="7" t="s">
        <v>25</v>
      </c>
      <c r="C273" s="7" t="s">
        <v>26</v>
      </c>
      <c r="D273" s="8" t="s">
        <v>556</v>
      </c>
      <c r="E273" s="7" t="s">
        <v>16</v>
      </c>
      <c r="F273" s="7" t="s">
        <v>16</v>
      </c>
      <c r="G273" s="7" t="s">
        <v>16</v>
      </c>
      <c r="H273" s="7" t="s">
        <v>16</v>
      </c>
      <c r="I273" s="13">
        <f>12127361167</f>
        <v>12127361167</v>
      </c>
      <c r="J273" s="14" t="s">
        <v>557</v>
      </c>
      <c r="K273" s="7" t="s">
        <v>242</v>
      </c>
      <c r="L273" s="15">
        <v>4.5999999999999996</v>
      </c>
      <c r="M273" s="15">
        <v>85</v>
      </c>
      <c r="N273" s="8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5.75" customHeight="1">
      <c r="A274" s="6">
        <v>273</v>
      </c>
      <c r="B274" s="7" t="s">
        <v>25</v>
      </c>
      <c r="C274" s="7" t="s">
        <v>26</v>
      </c>
      <c r="D274" s="8" t="s">
        <v>558</v>
      </c>
      <c r="E274" s="7" t="s">
        <v>16</v>
      </c>
      <c r="F274" s="7" t="s">
        <v>16</v>
      </c>
      <c r="G274" s="7" t="s">
        <v>16</v>
      </c>
      <c r="H274" s="7" t="s">
        <v>16</v>
      </c>
      <c r="I274" s="13">
        <f>12129673493</f>
        <v>12129673493</v>
      </c>
      <c r="J274" s="14" t="s">
        <v>559</v>
      </c>
      <c r="K274" s="7" t="s">
        <v>242</v>
      </c>
      <c r="L274" s="15">
        <v>5</v>
      </c>
      <c r="M274" s="15">
        <v>10</v>
      </c>
      <c r="N274" s="8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5.75" customHeight="1">
      <c r="A275" s="6">
        <v>274</v>
      </c>
      <c r="B275" s="7" t="s">
        <v>25</v>
      </c>
      <c r="C275" s="7" t="s">
        <v>26</v>
      </c>
      <c r="D275" s="8" t="s">
        <v>560</v>
      </c>
      <c r="E275" s="7" t="s">
        <v>16</v>
      </c>
      <c r="F275" s="7" t="s">
        <v>16</v>
      </c>
      <c r="G275" s="7" t="s">
        <v>16</v>
      </c>
      <c r="H275" s="7" t="s">
        <v>16</v>
      </c>
      <c r="I275" s="13">
        <f>13477931429</f>
        <v>13477931429</v>
      </c>
      <c r="J275" s="14" t="s">
        <v>561</v>
      </c>
      <c r="K275" s="7" t="s">
        <v>242</v>
      </c>
      <c r="L275" s="15">
        <v>4.7</v>
      </c>
      <c r="M275" s="15">
        <v>69</v>
      </c>
      <c r="N275" s="8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5.75" customHeight="1">
      <c r="A276" s="6">
        <v>275</v>
      </c>
      <c r="B276" s="7" t="s">
        <v>13</v>
      </c>
      <c r="C276" s="7" t="s">
        <v>481</v>
      </c>
      <c r="D276" s="8" t="s">
        <v>562</v>
      </c>
      <c r="E276" s="7" t="s">
        <v>16</v>
      </c>
      <c r="F276" s="7" t="s">
        <v>16</v>
      </c>
      <c r="G276" s="7" t="s">
        <v>16</v>
      </c>
      <c r="H276" s="7" t="s">
        <v>16</v>
      </c>
      <c r="I276" s="13">
        <v>9693837617</v>
      </c>
      <c r="J276" s="14" t="s">
        <v>563</v>
      </c>
      <c r="K276" s="7" t="s">
        <v>61</v>
      </c>
      <c r="L276" s="15">
        <v>4.3</v>
      </c>
      <c r="M276" s="15">
        <v>6</v>
      </c>
      <c r="N276" s="8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5.75" customHeight="1">
      <c r="A277" s="6">
        <v>276</v>
      </c>
      <c r="B277" s="7" t="s">
        <v>13</v>
      </c>
      <c r="C277" s="7" t="s">
        <v>481</v>
      </c>
      <c r="D277" s="8" t="s">
        <v>564</v>
      </c>
      <c r="E277" s="7" t="s">
        <v>16</v>
      </c>
      <c r="F277" s="7" t="s">
        <v>16</v>
      </c>
      <c r="G277" s="7" t="s">
        <v>16</v>
      </c>
      <c r="H277" s="7" t="s">
        <v>16</v>
      </c>
      <c r="I277" s="13">
        <v>9608266633</v>
      </c>
      <c r="J277" s="14" t="s">
        <v>565</v>
      </c>
      <c r="K277" s="7" t="s">
        <v>61</v>
      </c>
      <c r="L277" s="15">
        <v>4.2</v>
      </c>
      <c r="M277" s="15">
        <v>10</v>
      </c>
      <c r="N277" s="8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5.75" customHeight="1">
      <c r="A278" s="6">
        <v>277</v>
      </c>
      <c r="B278" s="7" t="s">
        <v>13</v>
      </c>
      <c r="C278" s="7" t="s">
        <v>481</v>
      </c>
      <c r="D278" s="8" t="s">
        <v>566</v>
      </c>
      <c r="E278" s="7" t="s">
        <v>16</v>
      </c>
      <c r="F278" s="7" t="s">
        <v>16</v>
      </c>
      <c r="G278" s="7" t="s">
        <v>16</v>
      </c>
      <c r="H278" s="7" t="s">
        <v>16</v>
      </c>
      <c r="I278" s="13">
        <v>9905050226</v>
      </c>
      <c r="J278" s="14" t="s">
        <v>567</v>
      </c>
      <c r="K278" s="7" t="s">
        <v>61</v>
      </c>
      <c r="L278" s="15">
        <v>2.2999999999999998</v>
      </c>
      <c r="M278" s="15">
        <v>3</v>
      </c>
      <c r="N278" s="8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5.75" customHeight="1">
      <c r="A279" s="6">
        <v>278</v>
      </c>
      <c r="B279" s="7" t="s">
        <v>13</v>
      </c>
      <c r="C279" s="7" t="s">
        <v>481</v>
      </c>
      <c r="D279" s="8" t="s">
        <v>568</v>
      </c>
      <c r="E279" s="7" t="s">
        <v>16</v>
      </c>
      <c r="F279" s="7" t="s">
        <v>16</v>
      </c>
      <c r="G279" s="7" t="s">
        <v>16</v>
      </c>
      <c r="H279" s="7" t="s">
        <v>16</v>
      </c>
      <c r="I279" s="13">
        <v>8873759590</v>
      </c>
      <c r="J279" s="14" t="s">
        <v>569</v>
      </c>
      <c r="K279" s="7" t="s">
        <v>61</v>
      </c>
      <c r="L279" s="15">
        <v>3.9</v>
      </c>
      <c r="M279" s="15">
        <v>19</v>
      </c>
      <c r="N279" s="8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5.75" customHeight="1">
      <c r="A280" s="6">
        <v>279</v>
      </c>
      <c r="B280" s="7" t="s">
        <v>13</v>
      </c>
      <c r="C280" s="7" t="s">
        <v>481</v>
      </c>
      <c r="D280" s="8" t="s">
        <v>570</v>
      </c>
      <c r="E280" s="7" t="s">
        <v>16</v>
      </c>
      <c r="F280" s="7" t="s">
        <v>16</v>
      </c>
      <c r="G280" s="7" t="s">
        <v>16</v>
      </c>
      <c r="H280" s="7" t="s">
        <v>16</v>
      </c>
      <c r="I280" s="13">
        <v>7541811717</v>
      </c>
      <c r="J280" s="14" t="s">
        <v>571</v>
      </c>
      <c r="K280" s="7" t="s">
        <v>61</v>
      </c>
      <c r="L280" s="15">
        <v>5</v>
      </c>
      <c r="M280" s="15">
        <v>2</v>
      </c>
      <c r="N280" s="8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5.75" customHeight="1">
      <c r="A281" s="6">
        <v>280</v>
      </c>
      <c r="B281" s="7" t="s">
        <v>13</v>
      </c>
      <c r="C281" s="7" t="s">
        <v>481</v>
      </c>
      <c r="D281" s="8" t="s">
        <v>572</v>
      </c>
      <c r="E281" s="7" t="s">
        <v>16</v>
      </c>
      <c r="F281" s="7" t="s">
        <v>16</v>
      </c>
      <c r="G281" s="7" t="s">
        <v>16</v>
      </c>
      <c r="H281" s="7" t="s">
        <v>16</v>
      </c>
      <c r="I281" s="13">
        <v>7903638039</v>
      </c>
      <c r="J281" s="14" t="s">
        <v>573</v>
      </c>
      <c r="K281" s="7" t="s">
        <v>61</v>
      </c>
      <c r="L281" s="15">
        <v>4.8</v>
      </c>
      <c r="M281" s="15">
        <v>5</v>
      </c>
      <c r="N281" s="8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5.75" customHeight="1">
      <c r="A282" s="6">
        <v>281</v>
      </c>
      <c r="B282" s="7" t="s">
        <v>13</v>
      </c>
      <c r="C282" s="7" t="s">
        <v>481</v>
      </c>
      <c r="D282" s="8" t="s">
        <v>574</v>
      </c>
      <c r="E282" s="7" t="s">
        <v>16</v>
      </c>
      <c r="F282" s="7" t="s">
        <v>16</v>
      </c>
      <c r="G282" s="7" t="s">
        <v>16</v>
      </c>
      <c r="H282" s="7" t="s">
        <v>16</v>
      </c>
      <c r="I282" s="13">
        <v>7209642334</v>
      </c>
      <c r="J282" s="14" t="s">
        <v>575</v>
      </c>
      <c r="K282" s="7" t="s">
        <v>61</v>
      </c>
      <c r="L282" s="15">
        <v>4.9000000000000004</v>
      </c>
      <c r="M282" s="15">
        <v>24</v>
      </c>
      <c r="N282" s="8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5.75" customHeight="1">
      <c r="A283" s="6">
        <v>282</v>
      </c>
      <c r="B283" s="7" t="s">
        <v>13</v>
      </c>
      <c r="C283" s="7" t="s">
        <v>481</v>
      </c>
      <c r="D283" s="8" t="s">
        <v>576</v>
      </c>
      <c r="E283" s="7" t="s">
        <v>16</v>
      </c>
      <c r="F283" s="7" t="s">
        <v>16</v>
      </c>
      <c r="G283" s="7" t="s">
        <v>16</v>
      </c>
      <c r="H283" s="7" t="s">
        <v>16</v>
      </c>
      <c r="I283" s="13">
        <v>6203186077</v>
      </c>
      <c r="J283" s="14" t="s">
        <v>577</v>
      </c>
      <c r="K283" s="7" t="s">
        <v>61</v>
      </c>
      <c r="L283" s="15">
        <v>4.5999999999999996</v>
      </c>
      <c r="M283" s="15">
        <v>25</v>
      </c>
      <c r="N283" s="8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5.75" customHeight="1">
      <c r="A284" s="6">
        <v>283</v>
      </c>
      <c r="B284" s="7" t="s">
        <v>13</v>
      </c>
      <c r="C284" s="7" t="s">
        <v>481</v>
      </c>
      <c r="D284" s="8" t="s">
        <v>578</v>
      </c>
      <c r="E284" s="7" t="s">
        <v>16</v>
      </c>
      <c r="F284" s="7" t="s">
        <v>16</v>
      </c>
      <c r="G284" s="7" t="s">
        <v>16</v>
      </c>
      <c r="H284" s="7" t="s">
        <v>16</v>
      </c>
      <c r="I284" s="13">
        <v>7544824817</v>
      </c>
      <c r="J284" s="14" t="s">
        <v>579</v>
      </c>
      <c r="K284" s="7" t="s">
        <v>61</v>
      </c>
      <c r="L284" s="15">
        <v>2.2999999999999998</v>
      </c>
      <c r="M284" s="15">
        <v>4</v>
      </c>
      <c r="N284" s="8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5.75" customHeight="1">
      <c r="A285" s="6">
        <v>284</v>
      </c>
      <c r="B285" s="7" t="s">
        <v>13</v>
      </c>
      <c r="C285" s="7" t="s">
        <v>481</v>
      </c>
      <c r="D285" s="8" t="s">
        <v>580</v>
      </c>
      <c r="E285" s="7" t="s">
        <v>16</v>
      </c>
      <c r="F285" s="7" t="s">
        <v>16</v>
      </c>
      <c r="G285" s="7" t="s">
        <v>16</v>
      </c>
      <c r="H285" s="7" t="s">
        <v>16</v>
      </c>
      <c r="I285" s="13">
        <v>9534438460</v>
      </c>
      <c r="J285" s="14" t="s">
        <v>581</v>
      </c>
      <c r="K285" s="7" t="s">
        <v>61</v>
      </c>
      <c r="L285" s="15">
        <v>4.5999999999999996</v>
      </c>
      <c r="M285" s="15">
        <v>16</v>
      </c>
      <c r="N285" s="8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5.75" customHeight="1">
      <c r="A286" s="6">
        <v>285</v>
      </c>
      <c r="B286" s="7" t="s">
        <v>13</v>
      </c>
      <c r="C286" s="7" t="s">
        <v>481</v>
      </c>
      <c r="D286" s="8" t="s">
        <v>582</v>
      </c>
      <c r="E286" s="7" t="s">
        <v>16</v>
      </c>
      <c r="F286" s="7" t="s">
        <v>16</v>
      </c>
      <c r="G286" s="7" t="s">
        <v>16</v>
      </c>
      <c r="H286" s="7" t="s">
        <v>16</v>
      </c>
      <c r="I286" s="13">
        <v>9386773875</v>
      </c>
      <c r="J286" s="14" t="s">
        <v>583</v>
      </c>
      <c r="K286" s="7" t="s">
        <v>61</v>
      </c>
      <c r="L286" s="15">
        <v>4</v>
      </c>
      <c r="M286" s="15">
        <v>3</v>
      </c>
      <c r="N286" s="8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5.75" customHeight="1">
      <c r="A287" s="6">
        <v>286</v>
      </c>
      <c r="B287" s="7" t="s">
        <v>13</v>
      </c>
      <c r="C287" s="7" t="s">
        <v>481</v>
      </c>
      <c r="D287" s="8" t="s">
        <v>584</v>
      </c>
      <c r="E287" s="7" t="s">
        <v>16</v>
      </c>
      <c r="F287" s="7" t="s">
        <v>16</v>
      </c>
      <c r="G287" s="7" t="s">
        <v>16</v>
      </c>
      <c r="H287" s="7" t="s">
        <v>16</v>
      </c>
      <c r="I287" s="13">
        <v>7488074261</v>
      </c>
      <c r="J287" s="16" t="s">
        <v>585</v>
      </c>
      <c r="K287" s="7" t="s">
        <v>61</v>
      </c>
      <c r="L287" s="17">
        <v>0</v>
      </c>
      <c r="M287" s="17">
        <v>0</v>
      </c>
      <c r="N287" s="8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5.75" customHeight="1">
      <c r="A288" s="6">
        <v>287</v>
      </c>
      <c r="B288" s="7" t="s">
        <v>13</v>
      </c>
      <c r="C288" s="7" t="s">
        <v>481</v>
      </c>
      <c r="D288" s="8" t="s">
        <v>586</v>
      </c>
      <c r="E288" s="7" t="s">
        <v>16</v>
      </c>
      <c r="F288" s="7" t="s">
        <v>16</v>
      </c>
      <c r="G288" s="7" t="s">
        <v>16</v>
      </c>
      <c r="H288" s="7" t="s">
        <v>16</v>
      </c>
      <c r="I288" s="13">
        <v>6122300915</v>
      </c>
      <c r="J288" s="14" t="s">
        <v>587</v>
      </c>
      <c r="K288" s="7" t="s">
        <v>61</v>
      </c>
      <c r="L288" s="15">
        <v>5</v>
      </c>
      <c r="M288" s="15">
        <v>2</v>
      </c>
      <c r="N288" s="8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5.75" customHeight="1">
      <c r="A289" s="6">
        <v>288</v>
      </c>
      <c r="B289" s="7" t="s">
        <v>25</v>
      </c>
      <c r="C289" s="7" t="s">
        <v>26</v>
      </c>
      <c r="D289" s="8" t="s">
        <v>588</v>
      </c>
      <c r="E289" s="7" t="s">
        <v>16</v>
      </c>
      <c r="F289" s="7" t="s">
        <v>16</v>
      </c>
      <c r="G289" s="7" t="s">
        <v>16</v>
      </c>
      <c r="H289" s="7" t="s">
        <v>16</v>
      </c>
      <c r="I289" s="13">
        <f>12128401871</f>
        <v>12128401871</v>
      </c>
      <c r="J289" s="14" t="s">
        <v>589</v>
      </c>
      <c r="K289" s="7" t="s">
        <v>242</v>
      </c>
      <c r="L289" s="15">
        <v>4.4000000000000004</v>
      </c>
      <c r="M289" s="15">
        <v>69</v>
      </c>
      <c r="N289" s="8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5.75" customHeight="1">
      <c r="A290" s="6">
        <v>289</v>
      </c>
      <c r="B290" s="7" t="s">
        <v>25</v>
      </c>
      <c r="C290" s="7" t="s">
        <v>26</v>
      </c>
      <c r="D290" s="8" t="s">
        <v>590</v>
      </c>
      <c r="E290" s="7" t="s">
        <v>16</v>
      </c>
      <c r="F290" s="7" t="s">
        <v>16</v>
      </c>
      <c r="G290" s="7" t="s">
        <v>16</v>
      </c>
      <c r="H290" s="7" t="s">
        <v>16</v>
      </c>
      <c r="I290" s="13">
        <f>12127533990</f>
        <v>12127533990</v>
      </c>
      <c r="J290" s="14" t="s">
        <v>591</v>
      </c>
      <c r="K290" s="7" t="s">
        <v>242</v>
      </c>
      <c r="L290" s="15">
        <v>4.2</v>
      </c>
      <c r="M290" s="15">
        <v>14</v>
      </c>
      <c r="N290" s="8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5.75" customHeight="1">
      <c r="A291" s="6">
        <v>290</v>
      </c>
      <c r="B291" s="7" t="s">
        <v>25</v>
      </c>
      <c r="C291" s="7" t="s">
        <v>26</v>
      </c>
      <c r="D291" s="8" t="s">
        <v>592</v>
      </c>
      <c r="E291" s="7" t="s">
        <v>16</v>
      </c>
      <c r="F291" s="7" t="s">
        <v>16</v>
      </c>
      <c r="G291" s="7" t="s">
        <v>16</v>
      </c>
      <c r="H291" s="7" t="s">
        <v>16</v>
      </c>
      <c r="I291" s="13">
        <f>17183923382</f>
        <v>17183923382</v>
      </c>
      <c r="J291" s="14" t="s">
        <v>593</v>
      </c>
      <c r="K291" s="7" t="s">
        <v>242</v>
      </c>
      <c r="L291" s="15">
        <v>3.9</v>
      </c>
      <c r="M291" s="15">
        <v>18</v>
      </c>
      <c r="N291" s="8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5.75" customHeight="1">
      <c r="A292" s="6">
        <v>291</v>
      </c>
      <c r="B292" s="7" t="s">
        <v>25</v>
      </c>
      <c r="C292" s="7" t="s">
        <v>26</v>
      </c>
      <c r="D292" s="8" t="s">
        <v>594</v>
      </c>
      <c r="E292" s="7" t="s">
        <v>16</v>
      </c>
      <c r="F292" s="7" t="s">
        <v>16</v>
      </c>
      <c r="G292" s="7" t="s">
        <v>16</v>
      </c>
      <c r="H292" s="7" t="s">
        <v>16</v>
      </c>
      <c r="I292" s="6">
        <f>12124069527</f>
        <v>12124069527</v>
      </c>
      <c r="J292" s="9" t="s">
        <v>595</v>
      </c>
      <c r="K292" s="7" t="s">
        <v>242</v>
      </c>
      <c r="L292" s="15">
        <v>4.9000000000000004</v>
      </c>
      <c r="M292" s="15">
        <v>436</v>
      </c>
      <c r="N292" s="8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5.75" customHeight="1">
      <c r="A293" s="6">
        <v>292</v>
      </c>
      <c r="B293" s="7" t="s">
        <v>25</v>
      </c>
      <c r="C293" s="7" t="s">
        <v>26</v>
      </c>
      <c r="D293" s="8" t="s">
        <v>552</v>
      </c>
      <c r="E293" s="7" t="s">
        <v>16</v>
      </c>
      <c r="F293" s="7" t="s">
        <v>16</v>
      </c>
      <c r="G293" s="7" t="s">
        <v>16</v>
      </c>
      <c r="H293" s="7" t="s">
        <v>16</v>
      </c>
      <c r="I293" s="6">
        <f>12122541151</f>
        <v>12122541151</v>
      </c>
      <c r="J293" s="9" t="s">
        <v>596</v>
      </c>
      <c r="K293" s="7" t="s">
        <v>242</v>
      </c>
      <c r="L293" s="15">
        <v>4.5</v>
      </c>
      <c r="M293" s="15">
        <v>82</v>
      </c>
      <c r="N293" s="8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5.75" customHeight="1">
      <c r="A294" s="6">
        <v>293</v>
      </c>
      <c r="B294" s="7" t="s">
        <v>13</v>
      </c>
      <c r="C294" s="7" t="s">
        <v>481</v>
      </c>
      <c r="D294" s="8" t="s">
        <v>597</v>
      </c>
      <c r="E294" s="7" t="s">
        <v>16</v>
      </c>
      <c r="F294" s="7" t="s">
        <v>16</v>
      </c>
      <c r="G294" s="7" t="s">
        <v>16</v>
      </c>
      <c r="H294" s="7" t="s">
        <v>16</v>
      </c>
      <c r="I294" s="13">
        <v>8540999641</v>
      </c>
      <c r="J294" s="14" t="s">
        <v>598</v>
      </c>
      <c r="K294" s="7" t="s">
        <v>61</v>
      </c>
      <c r="L294" s="15">
        <v>4.9000000000000004</v>
      </c>
      <c r="M294" s="15">
        <v>374</v>
      </c>
      <c r="N294" s="8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5.75" customHeight="1">
      <c r="A295" s="6">
        <v>294</v>
      </c>
      <c r="B295" s="7" t="s">
        <v>13</v>
      </c>
      <c r="C295" s="7" t="s">
        <v>481</v>
      </c>
      <c r="D295" s="8" t="s">
        <v>599</v>
      </c>
      <c r="E295" s="7" t="s">
        <v>16</v>
      </c>
      <c r="F295" s="7" t="s">
        <v>16</v>
      </c>
      <c r="G295" s="7" t="s">
        <v>16</v>
      </c>
      <c r="H295" s="7" t="s">
        <v>16</v>
      </c>
      <c r="I295" s="13">
        <v>8617433071</v>
      </c>
      <c r="J295" s="14" t="s">
        <v>600</v>
      </c>
      <c r="K295" s="7" t="s">
        <v>61</v>
      </c>
      <c r="L295" s="15">
        <v>5</v>
      </c>
      <c r="M295" s="15">
        <v>1</v>
      </c>
      <c r="N295" s="8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5.75" customHeight="1">
      <c r="A296" s="6">
        <v>295</v>
      </c>
      <c r="B296" s="7" t="s">
        <v>13</v>
      </c>
      <c r="C296" s="7" t="s">
        <v>481</v>
      </c>
      <c r="D296" s="8" t="s">
        <v>508</v>
      </c>
      <c r="E296" s="7" t="s">
        <v>16</v>
      </c>
      <c r="F296" s="7" t="s">
        <v>16</v>
      </c>
      <c r="G296" s="7" t="s">
        <v>16</v>
      </c>
      <c r="H296" s="7" t="s">
        <v>16</v>
      </c>
      <c r="I296" s="13">
        <v>8210184659</v>
      </c>
      <c r="J296" s="14" t="s">
        <v>601</v>
      </c>
      <c r="K296" s="7" t="s">
        <v>61</v>
      </c>
      <c r="L296" s="17">
        <v>0</v>
      </c>
      <c r="M296" s="17">
        <v>0</v>
      </c>
      <c r="N296" s="8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5.75" customHeight="1">
      <c r="A297" s="6">
        <v>296</v>
      </c>
      <c r="B297" s="7" t="s">
        <v>13</v>
      </c>
      <c r="C297" s="7" t="s">
        <v>481</v>
      </c>
      <c r="D297" s="8" t="s">
        <v>602</v>
      </c>
      <c r="E297" s="7" t="s">
        <v>16</v>
      </c>
      <c r="F297" s="7" t="s">
        <v>16</v>
      </c>
      <c r="G297" s="7" t="s">
        <v>16</v>
      </c>
      <c r="H297" s="7" t="s">
        <v>16</v>
      </c>
      <c r="I297" s="13">
        <v>8789822353</v>
      </c>
      <c r="J297" s="14" t="s">
        <v>603</v>
      </c>
      <c r="K297" s="7" t="s">
        <v>61</v>
      </c>
      <c r="L297" s="15">
        <v>5</v>
      </c>
      <c r="M297" s="15">
        <v>2</v>
      </c>
      <c r="N297" s="8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5.75" customHeight="1">
      <c r="A298" s="6">
        <v>297</v>
      </c>
      <c r="B298" s="7" t="s">
        <v>13</v>
      </c>
      <c r="C298" s="7" t="s">
        <v>481</v>
      </c>
      <c r="D298" s="8" t="s">
        <v>604</v>
      </c>
      <c r="E298" s="7" t="s">
        <v>16</v>
      </c>
      <c r="F298" s="7" t="s">
        <v>16</v>
      </c>
      <c r="G298" s="7" t="s">
        <v>16</v>
      </c>
      <c r="H298" s="7" t="s">
        <v>16</v>
      </c>
      <c r="I298" s="13">
        <v>9386999603</v>
      </c>
      <c r="J298" s="14" t="s">
        <v>605</v>
      </c>
      <c r="K298" s="7" t="s">
        <v>61</v>
      </c>
      <c r="L298" s="15">
        <v>5</v>
      </c>
      <c r="M298" s="15">
        <v>2</v>
      </c>
      <c r="N298" s="8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3.2">
      <c r="N299" s="10"/>
    </row>
    <row r="300" spans="1:27" ht="13.2">
      <c r="N300" s="10"/>
    </row>
    <row r="301" spans="1:27" ht="13.2">
      <c r="N301" s="10"/>
    </row>
    <row r="302" spans="1:27" ht="13.2">
      <c r="N302" s="10"/>
    </row>
    <row r="303" spans="1:27" ht="13.2">
      <c r="N303" s="10"/>
    </row>
    <row r="304" spans="1:27" ht="13.2">
      <c r="N304" s="10"/>
    </row>
    <row r="305" spans="14:14" ht="13.2">
      <c r="N305" s="10"/>
    </row>
    <row r="306" spans="14:14" ht="13.2">
      <c r="N306" s="10"/>
    </row>
    <row r="307" spans="14:14" ht="13.2">
      <c r="N307" s="10"/>
    </row>
    <row r="308" spans="14:14" ht="13.2">
      <c r="N308" s="10"/>
    </row>
    <row r="309" spans="14:14" ht="13.2">
      <c r="N309" s="10"/>
    </row>
    <row r="310" spans="14:14" ht="13.2">
      <c r="N310" s="10"/>
    </row>
    <row r="311" spans="14:14" ht="13.2">
      <c r="N311" s="10"/>
    </row>
    <row r="312" spans="14:14" ht="13.2">
      <c r="N312" s="10"/>
    </row>
    <row r="313" spans="14:14" ht="13.2">
      <c r="N313" s="10"/>
    </row>
    <row r="314" spans="14:14" ht="13.2">
      <c r="N314" s="10"/>
    </row>
    <row r="315" spans="14:14" ht="13.2">
      <c r="N315" s="10"/>
    </row>
    <row r="316" spans="14:14" ht="13.2">
      <c r="N316" s="10"/>
    </row>
    <row r="317" spans="14:14" ht="13.2">
      <c r="N317" s="10"/>
    </row>
    <row r="318" spans="14:14" ht="13.2">
      <c r="N318" s="10"/>
    </row>
    <row r="319" spans="14:14" ht="13.2">
      <c r="N319" s="10"/>
    </row>
    <row r="320" spans="14:14" ht="13.2">
      <c r="N320" s="10"/>
    </row>
    <row r="321" spans="14:14" ht="13.2">
      <c r="N321" s="10"/>
    </row>
    <row r="322" spans="14:14" ht="13.2">
      <c r="N322" s="10"/>
    </row>
    <row r="323" spans="14:14" ht="13.2">
      <c r="N323" s="10"/>
    </row>
    <row r="324" spans="14:14" ht="13.2">
      <c r="N324" s="10"/>
    </row>
    <row r="325" spans="14:14" ht="13.2">
      <c r="N325" s="10"/>
    </row>
    <row r="326" spans="14:14" ht="13.2">
      <c r="N326" s="10"/>
    </row>
    <row r="327" spans="14:14" ht="13.2">
      <c r="N327" s="10"/>
    </row>
    <row r="328" spans="14:14" ht="13.2">
      <c r="N328" s="10"/>
    </row>
    <row r="329" spans="14:14" ht="13.2">
      <c r="N329" s="10"/>
    </row>
    <row r="330" spans="14:14" ht="13.2">
      <c r="N330" s="10"/>
    </row>
    <row r="331" spans="14:14" ht="13.2">
      <c r="N331" s="10"/>
    </row>
    <row r="332" spans="14:14" ht="13.2">
      <c r="N332" s="10"/>
    </row>
    <row r="333" spans="14:14" ht="13.2">
      <c r="N333" s="10"/>
    </row>
    <row r="334" spans="14:14" ht="13.2">
      <c r="N334" s="10"/>
    </row>
    <row r="335" spans="14:14" ht="13.2">
      <c r="N335" s="10"/>
    </row>
    <row r="336" spans="14:14" ht="13.2">
      <c r="N336" s="10"/>
    </row>
    <row r="337" spans="14:14" ht="13.2">
      <c r="N337" s="10"/>
    </row>
    <row r="338" spans="14:14" ht="13.2">
      <c r="N338" s="10"/>
    </row>
    <row r="339" spans="14:14" ht="13.2">
      <c r="N339" s="10"/>
    </row>
    <row r="340" spans="14:14" ht="13.2">
      <c r="N340" s="10"/>
    </row>
    <row r="341" spans="14:14" ht="13.2">
      <c r="N341" s="10"/>
    </row>
    <row r="342" spans="14:14" ht="13.2">
      <c r="N342" s="10"/>
    </row>
    <row r="343" spans="14:14" ht="13.2">
      <c r="N343" s="10"/>
    </row>
    <row r="344" spans="14:14" ht="13.2">
      <c r="N344" s="10"/>
    </row>
    <row r="345" spans="14:14" ht="13.2">
      <c r="N345" s="10"/>
    </row>
    <row r="346" spans="14:14" ht="13.2">
      <c r="N346" s="10"/>
    </row>
    <row r="347" spans="14:14" ht="13.2">
      <c r="N347" s="10"/>
    </row>
    <row r="348" spans="14:14" ht="13.2">
      <c r="N348" s="10"/>
    </row>
    <row r="349" spans="14:14" ht="13.2">
      <c r="N349" s="10"/>
    </row>
    <row r="350" spans="14:14" ht="13.2">
      <c r="N350" s="10"/>
    </row>
    <row r="351" spans="14:14" ht="13.2">
      <c r="N351" s="10"/>
    </row>
    <row r="352" spans="14:14" ht="13.2">
      <c r="N352" s="10"/>
    </row>
    <row r="353" spans="14:14" ht="13.2">
      <c r="N353" s="10"/>
    </row>
    <row r="354" spans="14:14" ht="13.2">
      <c r="N354" s="10"/>
    </row>
    <row r="355" spans="14:14" ht="13.2">
      <c r="N355" s="10"/>
    </row>
    <row r="356" spans="14:14" ht="13.2">
      <c r="N356" s="10"/>
    </row>
    <row r="357" spans="14:14" ht="13.2">
      <c r="N357" s="10"/>
    </row>
    <row r="358" spans="14:14" ht="13.2">
      <c r="N358" s="10"/>
    </row>
    <row r="359" spans="14:14" ht="13.2">
      <c r="N359" s="10"/>
    </row>
    <row r="360" spans="14:14" ht="13.2">
      <c r="N360" s="10"/>
    </row>
    <row r="361" spans="14:14" ht="13.2">
      <c r="N361" s="10"/>
    </row>
    <row r="362" spans="14:14" ht="13.2">
      <c r="N362" s="10"/>
    </row>
    <row r="363" spans="14:14" ht="13.2">
      <c r="N363" s="10"/>
    </row>
    <row r="364" spans="14:14" ht="13.2">
      <c r="N364" s="10"/>
    </row>
    <row r="365" spans="14:14" ht="13.2">
      <c r="N365" s="10"/>
    </row>
    <row r="366" spans="14:14" ht="13.2">
      <c r="N366" s="10"/>
    </row>
    <row r="367" spans="14:14" ht="13.2">
      <c r="N367" s="10"/>
    </row>
    <row r="368" spans="14:14" ht="13.2">
      <c r="N368" s="10"/>
    </row>
    <row r="369" spans="14:14" ht="13.2">
      <c r="N369" s="10"/>
    </row>
    <row r="370" spans="14:14" ht="13.2">
      <c r="N370" s="10"/>
    </row>
    <row r="371" spans="14:14" ht="13.2">
      <c r="N371" s="10"/>
    </row>
    <row r="372" spans="14:14" ht="13.2">
      <c r="N372" s="10"/>
    </row>
    <row r="373" spans="14:14" ht="13.2">
      <c r="N373" s="10"/>
    </row>
    <row r="374" spans="14:14" ht="13.2">
      <c r="N374" s="10"/>
    </row>
    <row r="375" spans="14:14" ht="13.2">
      <c r="N375" s="10"/>
    </row>
    <row r="376" spans="14:14" ht="13.2">
      <c r="N376" s="10"/>
    </row>
    <row r="377" spans="14:14" ht="13.2">
      <c r="N377" s="10"/>
    </row>
    <row r="378" spans="14:14" ht="13.2">
      <c r="N378" s="10"/>
    </row>
    <row r="379" spans="14:14" ht="13.2">
      <c r="N379" s="10"/>
    </row>
    <row r="380" spans="14:14" ht="13.2">
      <c r="N380" s="10"/>
    </row>
    <row r="381" spans="14:14" ht="13.2">
      <c r="N381" s="10"/>
    </row>
    <row r="382" spans="14:14" ht="13.2">
      <c r="N382" s="10"/>
    </row>
    <row r="383" spans="14:14" ht="13.2">
      <c r="N383" s="10"/>
    </row>
    <row r="384" spans="14:14" ht="13.2">
      <c r="N384" s="10"/>
    </row>
    <row r="385" spans="14:14" ht="13.2">
      <c r="N385" s="10"/>
    </row>
    <row r="386" spans="14:14" ht="13.2">
      <c r="N386" s="10"/>
    </row>
    <row r="387" spans="14:14" ht="13.2">
      <c r="N387" s="10"/>
    </row>
    <row r="388" spans="14:14" ht="13.2">
      <c r="N388" s="10"/>
    </row>
    <row r="389" spans="14:14" ht="13.2">
      <c r="N389" s="10"/>
    </row>
    <row r="390" spans="14:14" ht="13.2">
      <c r="N390" s="10"/>
    </row>
    <row r="391" spans="14:14" ht="13.2">
      <c r="N391" s="10"/>
    </row>
    <row r="392" spans="14:14" ht="13.2">
      <c r="N392" s="10"/>
    </row>
    <row r="393" spans="14:14" ht="13.2">
      <c r="N393" s="10"/>
    </row>
    <row r="394" spans="14:14" ht="13.2">
      <c r="N394" s="10"/>
    </row>
    <row r="395" spans="14:14" ht="13.2">
      <c r="N395" s="10"/>
    </row>
    <row r="396" spans="14:14" ht="13.2">
      <c r="N396" s="10"/>
    </row>
    <row r="397" spans="14:14" ht="13.2">
      <c r="N397" s="10"/>
    </row>
    <row r="398" spans="14:14" ht="13.2">
      <c r="N398" s="10"/>
    </row>
    <row r="399" spans="14:14" ht="13.2">
      <c r="N399" s="10"/>
    </row>
    <row r="400" spans="14:14" ht="13.2">
      <c r="N400" s="10"/>
    </row>
    <row r="401" spans="14:14" ht="13.2">
      <c r="N401" s="10"/>
    </row>
    <row r="402" spans="14:14" ht="13.2">
      <c r="N402" s="10"/>
    </row>
    <row r="403" spans="14:14" ht="13.2">
      <c r="N403" s="10"/>
    </row>
    <row r="404" spans="14:14" ht="13.2">
      <c r="N404" s="10"/>
    </row>
    <row r="405" spans="14:14" ht="13.2">
      <c r="N405" s="10"/>
    </row>
    <row r="406" spans="14:14" ht="13.2">
      <c r="N406" s="10"/>
    </row>
    <row r="407" spans="14:14" ht="13.2">
      <c r="N407" s="10"/>
    </row>
    <row r="408" spans="14:14" ht="13.2">
      <c r="N408" s="10"/>
    </row>
    <row r="409" spans="14:14" ht="13.2">
      <c r="N409" s="10"/>
    </row>
    <row r="410" spans="14:14" ht="13.2">
      <c r="N410" s="10"/>
    </row>
    <row r="411" spans="14:14" ht="13.2">
      <c r="N411" s="10"/>
    </row>
    <row r="412" spans="14:14" ht="13.2">
      <c r="N412" s="10"/>
    </row>
    <row r="413" spans="14:14" ht="13.2">
      <c r="N413" s="10"/>
    </row>
    <row r="414" spans="14:14" ht="13.2">
      <c r="N414" s="10"/>
    </row>
    <row r="415" spans="14:14" ht="13.2">
      <c r="N415" s="10"/>
    </row>
    <row r="416" spans="14:14" ht="13.2">
      <c r="N416" s="10"/>
    </row>
    <row r="417" spans="14:14" ht="13.2">
      <c r="N417" s="10"/>
    </row>
    <row r="418" spans="14:14" ht="13.2">
      <c r="N418" s="10"/>
    </row>
    <row r="419" spans="14:14" ht="13.2">
      <c r="N419" s="10"/>
    </row>
    <row r="420" spans="14:14" ht="13.2">
      <c r="N420" s="10"/>
    </row>
    <row r="421" spans="14:14" ht="13.2">
      <c r="N421" s="10"/>
    </row>
    <row r="422" spans="14:14" ht="13.2">
      <c r="N422" s="10"/>
    </row>
    <row r="423" spans="14:14" ht="13.2">
      <c r="N423" s="10"/>
    </row>
    <row r="424" spans="14:14" ht="13.2">
      <c r="N424" s="10"/>
    </row>
    <row r="425" spans="14:14" ht="13.2">
      <c r="N425" s="10"/>
    </row>
    <row r="426" spans="14:14" ht="13.2">
      <c r="N426" s="10"/>
    </row>
    <row r="427" spans="14:14" ht="13.2">
      <c r="N427" s="10"/>
    </row>
    <row r="428" spans="14:14" ht="13.2">
      <c r="N428" s="10"/>
    </row>
    <row r="429" spans="14:14" ht="13.2">
      <c r="N429" s="10"/>
    </row>
    <row r="430" spans="14:14" ht="13.2">
      <c r="N430" s="10"/>
    </row>
    <row r="431" spans="14:14" ht="13.2">
      <c r="N431" s="10"/>
    </row>
    <row r="432" spans="14:14" ht="13.2">
      <c r="N432" s="10"/>
    </row>
    <row r="433" spans="14:14" ht="13.2">
      <c r="N433" s="10"/>
    </row>
    <row r="434" spans="14:14" ht="13.2">
      <c r="N434" s="10"/>
    </row>
    <row r="435" spans="14:14" ht="13.2">
      <c r="N435" s="10"/>
    </row>
    <row r="436" spans="14:14" ht="13.2">
      <c r="N436" s="10"/>
    </row>
    <row r="437" spans="14:14" ht="13.2">
      <c r="N437" s="10"/>
    </row>
    <row r="438" spans="14:14" ht="13.2">
      <c r="N438" s="10"/>
    </row>
    <row r="439" spans="14:14" ht="13.2">
      <c r="N439" s="10"/>
    </row>
    <row r="440" spans="14:14" ht="13.2">
      <c r="N440" s="10"/>
    </row>
    <row r="441" spans="14:14" ht="13.2">
      <c r="N441" s="10"/>
    </row>
    <row r="442" spans="14:14" ht="13.2">
      <c r="N442" s="10"/>
    </row>
    <row r="443" spans="14:14" ht="13.2">
      <c r="N443" s="10"/>
    </row>
    <row r="444" spans="14:14" ht="13.2">
      <c r="N444" s="10"/>
    </row>
    <row r="445" spans="14:14" ht="13.2">
      <c r="N445" s="10"/>
    </row>
    <row r="446" spans="14:14" ht="13.2">
      <c r="N446" s="10"/>
    </row>
    <row r="447" spans="14:14" ht="13.2">
      <c r="N447" s="10"/>
    </row>
    <row r="448" spans="14:14" ht="13.2">
      <c r="N448" s="10"/>
    </row>
    <row r="449" spans="14:14" ht="13.2">
      <c r="N449" s="10"/>
    </row>
    <row r="450" spans="14:14" ht="13.2">
      <c r="N450" s="10"/>
    </row>
    <row r="451" spans="14:14" ht="13.2">
      <c r="N451" s="10"/>
    </row>
    <row r="452" spans="14:14" ht="13.2">
      <c r="N452" s="10"/>
    </row>
    <row r="453" spans="14:14" ht="13.2">
      <c r="N453" s="10"/>
    </row>
    <row r="454" spans="14:14" ht="13.2">
      <c r="N454" s="10"/>
    </row>
    <row r="455" spans="14:14" ht="13.2">
      <c r="N455" s="10"/>
    </row>
    <row r="456" spans="14:14" ht="13.2">
      <c r="N456" s="10"/>
    </row>
    <row r="457" spans="14:14" ht="13.2">
      <c r="N457" s="10"/>
    </row>
    <row r="458" spans="14:14" ht="13.2">
      <c r="N458" s="10"/>
    </row>
    <row r="459" spans="14:14" ht="13.2">
      <c r="N459" s="10"/>
    </row>
    <row r="460" spans="14:14" ht="13.2">
      <c r="N460" s="10"/>
    </row>
    <row r="461" spans="14:14" ht="13.2">
      <c r="N461" s="10"/>
    </row>
    <row r="462" spans="14:14" ht="13.2">
      <c r="N462" s="10"/>
    </row>
    <row r="463" spans="14:14" ht="13.2">
      <c r="N463" s="10"/>
    </row>
    <row r="464" spans="14:14" ht="13.2">
      <c r="N464" s="10"/>
    </row>
    <row r="465" spans="14:14" ht="13.2">
      <c r="N465" s="10"/>
    </row>
    <row r="466" spans="14:14" ht="13.2">
      <c r="N466" s="10"/>
    </row>
    <row r="467" spans="14:14" ht="13.2">
      <c r="N467" s="10"/>
    </row>
    <row r="468" spans="14:14" ht="13.2">
      <c r="N468" s="10"/>
    </row>
    <row r="469" spans="14:14" ht="13.2">
      <c r="N469" s="10"/>
    </row>
    <row r="470" spans="14:14" ht="13.2">
      <c r="N470" s="10"/>
    </row>
    <row r="471" spans="14:14" ht="13.2">
      <c r="N471" s="10"/>
    </row>
    <row r="472" spans="14:14" ht="13.2">
      <c r="N472" s="10"/>
    </row>
    <row r="473" spans="14:14" ht="13.2">
      <c r="N473" s="10"/>
    </row>
    <row r="474" spans="14:14" ht="13.2">
      <c r="N474" s="10"/>
    </row>
    <row r="475" spans="14:14" ht="13.2">
      <c r="N475" s="10"/>
    </row>
    <row r="476" spans="14:14" ht="13.2">
      <c r="N476" s="10"/>
    </row>
    <row r="477" spans="14:14" ht="13.2">
      <c r="N477" s="10"/>
    </row>
    <row r="478" spans="14:14" ht="13.2">
      <c r="N478" s="10"/>
    </row>
    <row r="479" spans="14:14" ht="13.2">
      <c r="N479" s="10"/>
    </row>
    <row r="480" spans="14:14" ht="13.2">
      <c r="N480" s="10"/>
    </row>
    <row r="481" spans="14:14" ht="13.2">
      <c r="N481" s="10"/>
    </row>
    <row r="482" spans="14:14" ht="13.2">
      <c r="N482" s="10"/>
    </row>
    <row r="483" spans="14:14" ht="13.2">
      <c r="N483" s="10"/>
    </row>
    <row r="484" spans="14:14" ht="13.2">
      <c r="N484" s="10"/>
    </row>
    <row r="485" spans="14:14" ht="13.2">
      <c r="N485" s="10"/>
    </row>
    <row r="486" spans="14:14" ht="13.2">
      <c r="N486" s="10"/>
    </row>
    <row r="487" spans="14:14" ht="13.2">
      <c r="N487" s="10"/>
    </row>
    <row r="488" spans="14:14" ht="13.2">
      <c r="N488" s="10"/>
    </row>
    <row r="489" spans="14:14" ht="13.2">
      <c r="N489" s="10"/>
    </row>
    <row r="490" spans="14:14" ht="13.2">
      <c r="N490" s="10"/>
    </row>
    <row r="491" spans="14:14" ht="13.2">
      <c r="N491" s="10"/>
    </row>
    <row r="492" spans="14:14" ht="13.2">
      <c r="N492" s="10"/>
    </row>
    <row r="493" spans="14:14" ht="13.2">
      <c r="N493" s="10"/>
    </row>
    <row r="494" spans="14:14" ht="13.2">
      <c r="N494" s="10"/>
    </row>
    <row r="495" spans="14:14" ht="13.2">
      <c r="N495" s="10"/>
    </row>
    <row r="496" spans="14:14" ht="13.2">
      <c r="N496" s="10"/>
    </row>
    <row r="497" spans="14:14" ht="13.2">
      <c r="N497" s="10"/>
    </row>
    <row r="498" spans="14:14" ht="13.2">
      <c r="N498" s="10"/>
    </row>
    <row r="499" spans="14:14" ht="13.2">
      <c r="N499" s="10"/>
    </row>
    <row r="500" spans="14:14" ht="13.2">
      <c r="N500" s="10"/>
    </row>
    <row r="501" spans="14:14" ht="13.2">
      <c r="N501" s="10"/>
    </row>
    <row r="502" spans="14:14" ht="13.2">
      <c r="N502" s="10"/>
    </row>
    <row r="503" spans="14:14" ht="13.2">
      <c r="N503" s="10"/>
    </row>
    <row r="504" spans="14:14" ht="13.2">
      <c r="N504" s="10"/>
    </row>
    <row r="505" spans="14:14" ht="13.2">
      <c r="N505" s="10"/>
    </row>
    <row r="506" spans="14:14" ht="13.2">
      <c r="N506" s="10"/>
    </row>
    <row r="507" spans="14:14" ht="13.2">
      <c r="N507" s="10"/>
    </row>
    <row r="508" spans="14:14" ht="13.2">
      <c r="N508" s="10"/>
    </row>
    <row r="509" spans="14:14" ht="13.2">
      <c r="N509" s="10"/>
    </row>
    <row r="510" spans="14:14" ht="13.2">
      <c r="N510" s="10"/>
    </row>
    <row r="511" spans="14:14" ht="13.2">
      <c r="N511" s="10"/>
    </row>
    <row r="512" spans="14:14" ht="13.2">
      <c r="N512" s="10"/>
    </row>
    <row r="513" spans="14:14" ht="13.2">
      <c r="N513" s="10"/>
    </row>
    <row r="514" spans="14:14" ht="13.2">
      <c r="N514" s="10"/>
    </row>
    <row r="515" spans="14:14" ht="13.2">
      <c r="N515" s="10"/>
    </row>
    <row r="516" spans="14:14" ht="13.2">
      <c r="N516" s="10"/>
    </row>
    <row r="517" spans="14:14" ht="13.2">
      <c r="N517" s="10"/>
    </row>
    <row r="518" spans="14:14" ht="13.2">
      <c r="N518" s="10"/>
    </row>
    <row r="519" spans="14:14" ht="13.2">
      <c r="N519" s="10"/>
    </row>
    <row r="520" spans="14:14" ht="13.2">
      <c r="N520" s="10"/>
    </row>
    <row r="521" spans="14:14" ht="13.2">
      <c r="N521" s="10"/>
    </row>
    <row r="522" spans="14:14" ht="13.2">
      <c r="N522" s="10"/>
    </row>
    <row r="523" spans="14:14" ht="13.2">
      <c r="N523" s="10"/>
    </row>
    <row r="524" spans="14:14" ht="13.2">
      <c r="N524" s="10"/>
    </row>
    <row r="525" spans="14:14" ht="13.2">
      <c r="N525" s="10"/>
    </row>
    <row r="526" spans="14:14" ht="13.2">
      <c r="N526" s="10"/>
    </row>
    <row r="527" spans="14:14" ht="13.2">
      <c r="N527" s="10"/>
    </row>
    <row r="528" spans="14:14" ht="13.2">
      <c r="N528" s="10"/>
    </row>
    <row r="529" spans="14:14" ht="13.2">
      <c r="N529" s="10"/>
    </row>
    <row r="530" spans="14:14" ht="13.2">
      <c r="N530" s="10"/>
    </row>
    <row r="531" spans="14:14" ht="13.2">
      <c r="N531" s="10"/>
    </row>
    <row r="532" spans="14:14" ht="13.2">
      <c r="N532" s="10"/>
    </row>
    <row r="533" spans="14:14" ht="13.2">
      <c r="N533" s="10"/>
    </row>
    <row r="534" spans="14:14" ht="13.2">
      <c r="N534" s="10"/>
    </row>
    <row r="535" spans="14:14" ht="13.2">
      <c r="N535" s="10"/>
    </row>
    <row r="536" spans="14:14" ht="13.2">
      <c r="N536" s="10"/>
    </row>
    <row r="537" spans="14:14" ht="13.2">
      <c r="N537" s="10"/>
    </row>
    <row r="538" spans="14:14" ht="13.2">
      <c r="N538" s="10"/>
    </row>
    <row r="539" spans="14:14" ht="13.2">
      <c r="N539" s="10"/>
    </row>
    <row r="540" spans="14:14" ht="13.2">
      <c r="N540" s="10"/>
    </row>
    <row r="541" spans="14:14" ht="13.2">
      <c r="N541" s="10"/>
    </row>
    <row r="542" spans="14:14" ht="13.2">
      <c r="N542" s="10"/>
    </row>
    <row r="543" spans="14:14" ht="13.2">
      <c r="N543" s="10"/>
    </row>
    <row r="544" spans="14:14" ht="13.2">
      <c r="N544" s="10"/>
    </row>
    <row r="545" spans="14:14" ht="13.2">
      <c r="N545" s="10"/>
    </row>
    <row r="546" spans="14:14" ht="13.2">
      <c r="N546" s="10"/>
    </row>
    <row r="547" spans="14:14" ht="13.2">
      <c r="N547" s="10"/>
    </row>
    <row r="548" spans="14:14" ht="13.2">
      <c r="N548" s="10"/>
    </row>
    <row r="549" spans="14:14" ht="13.2">
      <c r="N549" s="10"/>
    </row>
    <row r="550" spans="14:14" ht="13.2">
      <c r="N550" s="10"/>
    </row>
    <row r="551" spans="14:14" ht="13.2">
      <c r="N551" s="10"/>
    </row>
    <row r="552" spans="14:14" ht="13.2">
      <c r="N552" s="10"/>
    </row>
    <row r="553" spans="14:14" ht="13.2">
      <c r="N553" s="10"/>
    </row>
    <row r="554" spans="14:14" ht="13.2">
      <c r="N554" s="10"/>
    </row>
    <row r="555" spans="14:14" ht="13.2">
      <c r="N555" s="10"/>
    </row>
    <row r="556" spans="14:14" ht="13.2">
      <c r="N556" s="10"/>
    </row>
    <row r="557" spans="14:14" ht="13.2">
      <c r="N557" s="10"/>
    </row>
    <row r="558" spans="14:14" ht="13.2">
      <c r="N558" s="10"/>
    </row>
    <row r="559" spans="14:14" ht="13.2">
      <c r="N559" s="10"/>
    </row>
    <row r="560" spans="14:14" ht="13.2">
      <c r="N560" s="10"/>
    </row>
    <row r="561" spans="14:14" ht="13.2">
      <c r="N561" s="10"/>
    </row>
    <row r="562" spans="14:14" ht="13.2">
      <c r="N562" s="10"/>
    </row>
    <row r="563" spans="14:14" ht="13.2">
      <c r="N563" s="10"/>
    </row>
    <row r="564" spans="14:14" ht="13.2">
      <c r="N564" s="10"/>
    </row>
    <row r="565" spans="14:14" ht="13.2">
      <c r="N565" s="10"/>
    </row>
    <row r="566" spans="14:14" ht="13.2">
      <c r="N566" s="10"/>
    </row>
    <row r="567" spans="14:14" ht="13.2">
      <c r="N567" s="10"/>
    </row>
    <row r="568" spans="14:14" ht="13.2">
      <c r="N568" s="10"/>
    </row>
    <row r="569" spans="14:14" ht="13.2">
      <c r="N569" s="10"/>
    </row>
    <row r="570" spans="14:14" ht="13.2">
      <c r="N570" s="10"/>
    </row>
    <row r="571" spans="14:14" ht="13.2">
      <c r="N571" s="10"/>
    </row>
    <row r="572" spans="14:14" ht="13.2">
      <c r="N572" s="10"/>
    </row>
    <row r="573" spans="14:14" ht="13.2">
      <c r="N573" s="10"/>
    </row>
    <row r="574" spans="14:14" ht="13.2">
      <c r="N574" s="10"/>
    </row>
    <row r="575" spans="14:14" ht="13.2">
      <c r="N575" s="10"/>
    </row>
    <row r="576" spans="14:14" ht="13.2">
      <c r="N576" s="10"/>
    </row>
    <row r="577" spans="14:14" ht="13.2">
      <c r="N577" s="10"/>
    </row>
    <row r="578" spans="14:14" ht="13.2">
      <c r="N578" s="10"/>
    </row>
    <row r="579" spans="14:14" ht="13.2">
      <c r="N579" s="10"/>
    </row>
    <row r="580" spans="14:14" ht="13.2">
      <c r="N580" s="10"/>
    </row>
    <row r="581" spans="14:14" ht="13.2">
      <c r="N581" s="10"/>
    </row>
    <row r="582" spans="14:14" ht="13.2">
      <c r="N582" s="10"/>
    </row>
    <row r="583" spans="14:14" ht="13.2">
      <c r="N583" s="10"/>
    </row>
    <row r="584" spans="14:14" ht="13.2">
      <c r="N584" s="10"/>
    </row>
    <row r="585" spans="14:14" ht="13.2">
      <c r="N585" s="10"/>
    </row>
    <row r="586" spans="14:14" ht="13.2">
      <c r="N586" s="10"/>
    </row>
    <row r="587" spans="14:14" ht="13.2">
      <c r="N587" s="10"/>
    </row>
    <row r="588" spans="14:14" ht="13.2">
      <c r="N588" s="10"/>
    </row>
    <row r="589" spans="14:14" ht="13.2">
      <c r="N589" s="10"/>
    </row>
    <row r="590" spans="14:14" ht="13.2">
      <c r="N590" s="10"/>
    </row>
    <row r="591" spans="14:14" ht="13.2">
      <c r="N591" s="10"/>
    </row>
    <row r="592" spans="14:14" ht="13.2">
      <c r="N592" s="10"/>
    </row>
    <row r="593" spans="14:14" ht="13.2">
      <c r="N593" s="10"/>
    </row>
    <row r="594" spans="14:14" ht="13.2">
      <c r="N594" s="10"/>
    </row>
    <row r="595" spans="14:14" ht="13.2">
      <c r="N595" s="10"/>
    </row>
    <row r="596" spans="14:14" ht="13.2">
      <c r="N596" s="10"/>
    </row>
    <row r="597" spans="14:14" ht="13.2">
      <c r="N597" s="10"/>
    </row>
    <row r="598" spans="14:14" ht="13.2">
      <c r="N598" s="10"/>
    </row>
    <row r="599" spans="14:14" ht="13.2">
      <c r="N599" s="10"/>
    </row>
    <row r="600" spans="14:14" ht="13.2">
      <c r="N600" s="10"/>
    </row>
    <row r="601" spans="14:14" ht="13.2">
      <c r="N601" s="10"/>
    </row>
    <row r="602" spans="14:14" ht="13.2">
      <c r="N602" s="10"/>
    </row>
    <row r="603" spans="14:14" ht="13.2">
      <c r="N603" s="10"/>
    </row>
    <row r="604" spans="14:14" ht="13.2">
      <c r="N604" s="10"/>
    </row>
    <row r="605" spans="14:14" ht="13.2">
      <c r="N605" s="10"/>
    </row>
    <row r="606" spans="14:14" ht="13.2">
      <c r="N606" s="10"/>
    </row>
    <row r="607" spans="14:14" ht="13.2">
      <c r="N607" s="10"/>
    </row>
    <row r="608" spans="14:14" ht="13.2">
      <c r="N608" s="10"/>
    </row>
    <row r="609" spans="14:14" ht="13.2">
      <c r="N609" s="10"/>
    </row>
    <row r="610" spans="14:14" ht="13.2">
      <c r="N610" s="10"/>
    </row>
    <row r="611" spans="14:14" ht="13.2">
      <c r="N611" s="10"/>
    </row>
    <row r="612" spans="14:14" ht="13.2">
      <c r="N612" s="10"/>
    </row>
    <row r="613" spans="14:14" ht="13.2">
      <c r="N613" s="10"/>
    </row>
    <row r="614" spans="14:14" ht="13.2">
      <c r="N614" s="10"/>
    </row>
    <row r="615" spans="14:14" ht="13.2">
      <c r="N615" s="10"/>
    </row>
    <row r="616" spans="14:14" ht="13.2">
      <c r="N616" s="10"/>
    </row>
    <row r="617" spans="14:14" ht="13.2">
      <c r="N617" s="10"/>
    </row>
    <row r="618" spans="14:14" ht="13.2">
      <c r="N618" s="10"/>
    </row>
    <row r="619" spans="14:14" ht="13.2">
      <c r="N619" s="10"/>
    </row>
    <row r="620" spans="14:14" ht="13.2">
      <c r="N620" s="10"/>
    </row>
    <row r="621" spans="14:14" ht="13.2">
      <c r="N621" s="10"/>
    </row>
    <row r="622" spans="14:14" ht="13.2">
      <c r="N622" s="10"/>
    </row>
    <row r="623" spans="14:14" ht="13.2">
      <c r="N623" s="10"/>
    </row>
    <row r="624" spans="14:14" ht="13.2">
      <c r="N624" s="10"/>
    </row>
    <row r="625" spans="14:14" ht="13.2">
      <c r="N625" s="10"/>
    </row>
    <row r="626" spans="14:14" ht="13.2">
      <c r="N626" s="10"/>
    </row>
    <row r="627" spans="14:14" ht="13.2">
      <c r="N627" s="10"/>
    </row>
    <row r="628" spans="14:14" ht="13.2">
      <c r="N628" s="10"/>
    </row>
    <row r="629" spans="14:14" ht="13.2">
      <c r="N629" s="10"/>
    </row>
    <row r="630" spans="14:14" ht="13.2">
      <c r="N630" s="10"/>
    </row>
    <row r="631" spans="14:14" ht="13.2">
      <c r="N631" s="10"/>
    </row>
    <row r="632" spans="14:14" ht="13.2">
      <c r="N632" s="10"/>
    </row>
    <row r="633" spans="14:14" ht="13.2">
      <c r="N633" s="10"/>
    </row>
    <row r="634" spans="14:14" ht="13.2">
      <c r="N634" s="10"/>
    </row>
    <row r="635" spans="14:14" ht="13.2">
      <c r="N635" s="10"/>
    </row>
    <row r="636" spans="14:14" ht="13.2">
      <c r="N636" s="10"/>
    </row>
    <row r="637" spans="14:14" ht="13.2">
      <c r="N637" s="10"/>
    </row>
    <row r="638" spans="14:14" ht="13.2">
      <c r="N638" s="10"/>
    </row>
    <row r="639" spans="14:14" ht="13.2">
      <c r="N639" s="10"/>
    </row>
    <row r="640" spans="14:14" ht="13.2">
      <c r="N640" s="10"/>
    </row>
    <row r="641" spans="14:14" ht="13.2">
      <c r="N641" s="10"/>
    </row>
    <row r="642" spans="14:14" ht="13.2">
      <c r="N642" s="10"/>
    </row>
    <row r="643" spans="14:14" ht="13.2">
      <c r="N643" s="10"/>
    </row>
    <row r="644" spans="14:14" ht="13.2">
      <c r="N644" s="10"/>
    </row>
    <row r="645" spans="14:14" ht="13.2">
      <c r="N645" s="10"/>
    </row>
    <row r="646" spans="14:14" ht="13.2">
      <c r="N646" s="10"/>
    </row>
    <row r="647" spans="14:14" ht="13.2">
      <c r="N647" s="10"/>
    </row>
    <row r="648" spans="14:14" ht="13.2">
      <c r="N648" s="10"/>
    </row>
    <row r="649" spans="14:14" ht="13.2">
      <c r="N649" s="10"/>
    </row>
    <row r="650" spans="14:14" ht="13.2">
      <c r="N650" s="10"/>
    </row>
    <row r="651" spans="14:14" ht="13.2">
      <c r="N651" s="10"/>
    </row>
    <row r="652" spans="14:14" ht="13.2">
      <c r="N652" s="10"/>
    </row>
    <row r="653" spans="14:14" ht="13.2">
      <c r="N653" s="10"/>
    </row>
    <row r="654" spans="14:14" ht="13.2">
      <c r="N654" s="10"/>
    </row>
    <row r="655" spans="14:14" ht="13.2">
      <c r="N655" s="10"/>
    </row>
    <row r="656" spans="14:14" ht="13.2">
      <c r="N656" s="10"/>
    </row>
    <row r="657" spans="14:14" ht="13.2">
      <c r="N657" s="10"/>
    </row>
    <row r="658" spans="14:14" ht="13.2">
      <c r="N658" s="10"/>
    </row>
    <row r="659" spans="14:14" ht="13.2">
      <c r="N659" s="10"/>
    </row>
    <row r="660" spans="14:14" ht="13.2">
      <c r="N660" s="10"/>
    </row>
    <row r="661" spans="14:14" ht="13.2">
      <c r="N661" s="10"/>
    </row>
    <row r="662" spans="14:14" ht="13.2">
      <c r="N662" s="10"/>
    </row>
    <row r="663" spans="14:14" ht="13.2">
      <c r="N663" s="10"/>
    </row>
    <row r="664" spans="14:14" ht="13.2">
      <c r="N664" s="10"/>
    </row>
    <row r="665" spans="14:14" ht="13.2">
      <c r="N665" s="10"/>
    </row>
    <row r="666" spans="14:14" ht="13.2">
      <c r="N666" s="10"/>
    </row>
    <row r="667" spans="14:14" ht="13.2">
      <c r="N667" s="10"/>
    </row>
    <row r="668" spans="14:14" ht="13.2">
      <c r="N668" s="10"/>
    </row>
    <row r="669" spans="14:14" ht="13.2">
      <c r="N669" s="10"/>
    </row>
    <row r="670" spans="14:14" ht="13.2">
      <c r="N670" s="10"/>
    </row>
    <row r="671" spans="14:14" ht="13.2">
      <c r="N671" s="10"/>
    </row>
    <row r="672" spans="14:14" ht="13.2">
      <c r="N672" s="10"/>
    </row>
    <row r="673" spans="14:14" ht="13.2">
      <c r="N673" s="10"/>
    </row>
    <row r="674" spans="14:14" ht="13.2">
      <c r="N674" s="10"/>
    </row>
    <row r="675" spans="14:14" ht="13.2">
      <c r="N675" s="10"/>
    </row>
    <row r="676" spans="14:14" ht="13.2">
      <c r="N676" s="10"/>
    </row>
    <row r="677" spans="14:14" ht="13.2">
      <c r="N677" s="10"/>
    </row>
    <row r="678" spans="14:14" ht="13.2">
      <c r="N678" s="10"/>
    </row>
    <row r="679" spans="14:14" ht="13.2">
      <c r="N679" s="10"/>
    </row>
    <row r="680" spans="14:14" ht="13.2">
      <c r="N680" s="10"/>
    </row>
    <row r="681" spans="14:14" ht="13.2">
      <c r="N681" s="10"/>
    </row>
    <row r="682" spans="14:14" ht="13.2">
      <c r="N682" s="10"/>
    </row>
    <row r="683" spans="14:14" ht="13.2">
      <c r="N683" s="10"/>
    </row>
    <row r="684" spans="14:14" ht="13.2">
      <c r="N684" s="10"/>
    </row>
    <row r="685" spans="14:14" ht="13.2">
      <c r="N685" s="10"/>
    </row>
    <row r="686" spans="14:14" ht="13.2">
      <c r="N686" s="10"/>
    </row>
    <row r="687" spans="14:14" ht="13.2">
      <c r="N687" s="10"/>
    </row>
    <row r="688" spans="14:14" ht="13.2">
      <c r="N688" s="10"/>
    </row>
    <row r="689" spans="14:14" ht="13.2">
      <c r="N689" s="10"/>
    </row>
    <row r="690" spans="14:14" ht="13.2">
      <c r="N690" s="10"/>
    </row>
    <row r="691" spans="14:14" ht="13.2">
      <c r="N691" s="10"/>
    </row>
    <row r="692" spans="14:14" ht="13.2">
      <c r="N692" s="10"/>
    </row>
    <row r="693" spans="14:14" ht="13.2">
      <c r="N693" s="10"/>
    </row>
    <row r="694" spans="14:14" ht="13.2">
      <c r="N694" s="10"/>
    </row>
    <row r="695" spans="14:14" ht="13.2">
      <c r="N695" s="10"/>
    </row>
    <row r="696" spans="14:14" ht="13.2">
      <c r="N696" s="10"/>
    </row>
    <row r="697" spans="14:14" ht="13.2">
      <c r="N697" s="10"/>
    </row>
    <row r="698" spans="14:14" ht="13.2">
      <c r="N698" s="10"/>
    </row>
    <row r="699" spans="14:14" ht="13.2">
      <c r="N699" s="10"/>
    </row>
    <row r="700" spans="14:14" ht="13.2">
      <c r="N700" s="10"/>
    </row>
    <row r="701" spans="14:14" ht="13.2">
      <c r="N701" s="10"/>
    </row>
    <row r="702" spans="14:14" ht="13.2">
      <c r="N702" s="10"/>
    </row>
    <row r="703" spans="14:14" ht="13.2">
      <c r="N703" s="10"/>
    </row>
    <row r="704" spans="14:14" ht="13.2">
      <c r="N704" s="10"/>
    </row>
    <row r="705" spans="14:14" ht="13.2">
      <c r="N705" s="10"/>
    </row>
    <row r="706" spans="14:14" ht="13.2">
      <c r="N706" s="10"/>
    </row>
    <row r="707" spans="14:14" ht="13.2">
      <c r="N707" s="10"/>
    </row>
    <row r="708" spans="14:14" ht="13.2">
      <c r="N708" s="10"/>
    </row>
    <row r="709" spans="14:14" ht="13.2">
      <c r="N709" s="10"/>
    </row>
    <row r="710" spans="14:14" ht="13.2">
      <c r="N710" s="10"/>
    </row>
    <row r="711" spans="14:14" ht="13.2">
      <c r="N711" s="10"/>
    </row>
    <row r="712" spans="14:14" ht="13.2">
      <c r="N712" s="10"/>
    </row>
    <row r="713" spans="14:14" ht="13.2">
      <c r="N713" s="10"/>
    </row>
    <row r="714" spans="14:14" ht="13.2">
      <c r="N714" s="10"/>
    </row>
    <row r="715" spans="14:14" ht="13.2">
      <c r="N715" s="10"/>
    </row>
    <row r="716" spans="14:14" ht="13.2">
      <c r="N716" s="10"/>
    </row>
    <row r="717" spans="14:14" ht="13.2">
      <c r="N717" s="10"/>
    </row>
    <row r="718" spans="14:14" ht="13.2">
      <c r="N718" s="10"/>
    </row>
    <row r="719" spans="14:14" ht="13.2">
      <c r="N719" s="10"/>
    </row>
    <row r="720" spans="14:14" ht="13.2">
      <c r="N720" s="10"/>
    </row>
    <row r="721" spans="14:14" ht="13.2">
      <c r="N721" s="10"/>
    </row>
    <row r="722" spans="14:14" ht="13.2">
      <c r="N722" s="10"/>
    </row>
    <row r="723" spans="14:14" ht="13.2">
      <c r="N723" s="10"/>
    </row>
    <row r="724" spans="14:14" ht="13.2">
      <c r="N724" s="10"/>
    </row>
    <row r="725" spans="14:14" ht="13.2">
      <c r="N725" s="10"/>
    </row>
    <row r="726" spans="14:14" ht="13.2">
      <c r="N726" s="10"/>
    </row>
    <row r="727" spans="14:14" ht="13.2">
      <c r="N727" s="10"/>
    </row>
    <row r="728" spans="14:14" ht="13.2">
      <c r="N728" s="10"/>
    </row>
    <row r="729" spans="14:14" ht="13.2">
      <c r="N729" s="10"/>
    </row>
    <row r="730" spans="14:14" ht="13.2">
      <c r="N730" s="10"/>
    </row>
    <row r="731" spans="14:14" ht="13.2">
      <c r="N731" s="10"/>
    </row>
    <row r="732" spans="14:14" ht="13.2">
      <c r="N732" s="10"/>
    </row>
    <row r="733" spans="14:14" ht="13.2">
      <c r="N733" s="10"/>
    </row>
    <row r="734" spans="14:14" ht="13.2">
      <c r="N734" s="10"/>
    </row>
    <row r="735" spans="14:14" ht="13.2">
      <c r="N735" s="10"/>
    </row>
    <row r="736" spans="14:14" ht="13.2">
      <c r="N736" s="10"/>
    </row>
    <row r="737" spans="14:14" ht="13.2">
      <c r="N737" s="10"/>
    </row>
    <row r="738" spans="14:14" ht="13.2">
      <c r="N738" s="10"/>
    </row>
    <row r="739" spans="14:14" ht="13.2">
      <c r="N739" s="10"/>
    </row>
    <row r="740" spans="14:14" ht="13.2">
      <c r="N740" s="10"/>
    </row>
    <row r="741" spans="14:14" ht="13.2">
      <c r="N741" s="10"/>
    </row>
    <row r="742" spans="14:14" ht="13.2">
      <c r="N742" s="10"/>
    </row>
    <row r="743" spans="14:14" ht="13.2">
      <c r="N743" s="10"/>
    </row>
    <row r="744" spans="14:14" ht="13.2">
      <c r="N744" s="10"/>
    </row>
    <row r="745" spans="14:14" ht="13.2">
      <c r="N745" s="10"/>
    </row>
    <row r="746" spans="14:14" ht="13.2">
      <c r="N746" s="10"/>
    </row>
    <row r="747" spans="14:14" ht="13.2">
      <c r="N747" s="10"/>
    </row>
    <row r="748" spans="14:14" ht="13.2">
      <c r="N748" s="10"/>
    </row>
    <row r="749" spans="14:14" ht="13.2">
      <c r="N749" s="10"/>
    </row>
    <row r="750" spans="14:14" ht="13.2">
      <c r="N750" s="10"/>
    </row>
    <row r="751" spans="14:14" ht="13.2">
      <c r="N751" s="10"/>
    </row>
    <row r="752" spans="14:14" ht="13.2">
      <c r="N752" s="10"/>
    </row>
    <row r="753" spans="14:14" ht="13.2">
      <c r="N753" s="10"/>
    </row>
    <row r="754" spans="14:14" ht="13.2">
      <c r="N754" s="10"/>
    </row>
    <row r="755" spans="14:14" ht="13.2">
      <c r="N755" s="10"/>
    </row>
    <row r="756" spans="14:14" ht="13.2">
      <c r="N756" s="10"/>
    </row>
    <row r="757" spans="14:14" ht="13.2">
      <c r="N757" s="10"/>
    </row>
    <row r="758" spans="14:14" ht="13.2">
      <c r="N758" s="10"/>
    </row>
    <row r="759" spans="14:14" ht="13.2">
      <c r="N759" s="10"/>
    </row>
    <row r="760" spans="14:14" ht="13.2">
      <c r="N760" s="10"/>
    </row>
    <row r="761" spans="14:14" ht="13.2">
      <c r="N761" s="10"/>
    </row>
    <row r="762" spans="14:14" ht="13.2">
      <c r="N762" s="10"/>
    </row>
    <row r="763" spans="14:14" ht="13.2">
      <c r="N763" s="10"/>
    </row>
    <row r="764" spans="14:14" ht="13.2">
      <c r="N764" s="10"/>
    </row>
    <row r="765" spans="14:14" ht="13.2">
      <c r="N765" s="10"/>
    </row>
    <row r="766" spans="14:14" ht="13.2">
      <c r="N766" s="10"/>
    </row>
    <row r="767" spans="14:14" ht="13.2">
      <c r="N767" s="10"/>
    </row>
    <row r="768" spans="14:14" ht="13.2">
      <c r="N768" s="10"/>
    </row>
    <row r="769" spans="14:14" ht="13.2">
      <c r="N769" s="10"/>
    </row>
    <row r="770" spans="14:14" ht="13.2">
      <c r="N770" s="10"/>
    </row>
    <row r="771" spans="14:14" ht="13.2">
      <c r="N771" s="10"/>
    </row>
    <row r="772" spans="14:14" ht="13.2">
      <c r="N772" s="10"/>
    </row>
    <row r="773" spans="14:14" ht="13.2">
      <c r="N773" s="10"/>
    </row>
    <row r="774" spans="14:14" ht="13.2">
      <c r="N774" s="10"/>
    </row>
    <row r="775" spans="14:14" ht="13.2">
      <c r="N775" s="10"/>
    </row>
    <row r="776" spans="14:14" ht="13.2">
      <c r="N776" s="10"/>
    </row>
    <row r="777" spans="14:14" ht="13.2">
      <c r="N777" s="10"/>
    </row>
    <row r="778" spans="14:14" ht="13.2">
      <c r="N778" s="10"/>
    </row>
    <row r="779" spans="14:14" ht="13.2">
      <c r="N779" s="10"/>
    </row>
    <row r="780" spans="14:14" ht="13.2">
      <c r="N780" s="10"/>
    </row>
    <row r="781" spans="14:14" ht="13.2">
      <c r="N781" s="10"/>
    </row>
    <row r="782" spans="14:14" ht="13.2">
      <c r="N782" s="10"/>
    </row>
    <row r="783" spans="14:14" ht="13.2">
      <c r="N783" s="10"/>
    </row>
    <row r="784" spans="14:14" ht="13.2">
      <c r="N784" s="10"/>
    </row>
    <row r="785" spans="14:14" ht="13.2">
      <c r="N785" s="10"/>
    </row>
    <row r="786" spans="14:14" ht="13.2">
      <c r="N786" s="10"/>
    </row>
    <row r="787" spans="14:14" ht="13.2">
      <c r="N787" s="10"/>
    </row>
    <row r="788" spans="14:14" ht="13.2">
      <c r="N788" s="10"/>
    </row>
    <row r="789" spans="14:14" ht="13.2">
      <c r="N789" s="10"/>
    </row>
    <row r="790" spans="14:14" ht="13.2">
      <c r="N790" s="10"/>
    </row>
    <row r="791" spans="14:14" ht="13.2">
      <c r="N791" s="10"/>
    </row>
    <row r="792" spans="14:14" ht="13.2">
      <c r="N792" s="10"/>
    </row>
    <row r="793" spans="14:14" ht="13.2">
      <c r="N793" s="10"/>
    </row>
    <row r="794" spans="14:14" ht="13.2">
      <c r="N794" s="10"/>
    </row>
    <row r="795" spans="14:14" ht="13.2">
      <c r="N795" s="10"/>
    </row>
    <row r="796" spans="14:14" ht="13.2">
      <c r="N796" s="10"/>
    </row>
    <row r="797" spans="14:14" ht="13.2">
      <c r="N797" s="10"/>
    </row>
    <row r="798" spans="14:14" ht="13.2">
      <c r="N798" s="10"/>
    </row>
    <row r="799" spans="14:14" ht="13.2">
      <c r="N799" s="10"/>
    </row>
    <row r="800" spans="14:14" ht="13.2">
      <c r="N800" s="10"/>
    </row>
    <row r="801" spans="14:14" ht="13.2">
      <c r="N801" s="10"/>
    </row>
    <row r="802" spans="14:14" ht="13.2">
      <c r="N802" s="10"/>
    </row>
    <row r="803" spans="14:14" ht="13.2">
      <c r="N803" s="10"/>
    </row>
    <row r="804" spans="14:14" ht="13.2">
      <c r="N804" s="10"/>
    </row>
    <row r="805" spans="14:14" ht="13.2">
      <c r="N805" s="10"/>
    </row>
    <row r="806" spans="14:14" ht="13.2">
      <c r="N806" s="10"/>
    </row>
    <row r="807" spans="14:14" ht="13.2">
      <c r="N807" s="10"/>
    </row>
    <row r="808" spans="14:14" ht="13.2">
      <c r="N808" s="10"/>
    </row>
    <row r="809" spans="14:14" ht="13.2">
      <c r="N809" s="10"/>
    </row>
    <row r="810" spans="14:14" ht="13.2">
      <c r="N810" s="10"/>
    </row>
    <row r="811" spans="14:14" ht="13.2">
      <c r="N811" s="10"/>
    </row>
    <row r="812" spans="14:14" ht="13.2">
      <c r="N812" s="10"/>
    </row>
    <row r="813" spans="14:14" ht="13.2">
      <c r="N813" s="10"/>
    </row>
    <row r="814" spans="14:14" ht="13.2">
      <c r="N814" s="10"/>
    </row>
    <row r="815" spans="14:14" ht="13.2">
      <c r="N815" s="10"/>
    </row>
    <row r="816" spans="14:14" ht="13.2">
      <c r="N816" s="10"/>
    </row>
    <row r="817" spans="14:14" ht="13.2">
      <c r="N817" s="10"/>
    </row>
    <row r="818" spans="14:14" ht="13.2">
      <c r="N818" s="10"/>
    </row>
    <row r="819" spans="14:14" ht="13.2">
      <c r="N819" s="10"/>
    </row>
    <row r="820" spans="14:14" ht="13.2">
      <c r="N820" s="10"/>
    </row>
    <row r="821" spans="14:14" ht="13.2">
      <c r="N821" s="10"/>
    </row>
    <row r="822" spans="14:14" ht="13.2">
      <c r="N822" s="10"/>
    </row>
    <row r="823" spans="14:14" ht="13.2">
      <c r="N823" s="10"/>
    </row>
    <row r="824" spans="14:14" ht="13.2">
      <c r="N824" s="10"/>
    </row>
    <row r="825" spans="14:14" ht="13.2">
      <c r="N825" s="10"/>
    </row>
    <row r="826" spans="14:14" ht="13.2">
      <c r="N826" s="10"/>
    </row>
    <row r="827" spans="14:14" ht="13.2">
      <c r="N827" s="10"/>
    </row>
    <row r="828" spans="14:14" ht="13.2">
      <c r="N828" s="10"/>
    </row>
    <row r="829" spans="14:14" ht="13.2">
      <c r="N829" s="10"/>
    </row>
    <row r="830" spans="14:14" ht="13.2">
      <c r="N830" s="10"/>
    </row>
    <row r="831" spans="14:14" ht="13.2">
      <c r="N831" s="10"/>
    </row>
    <row r="832" spans="14:14" ht="13.2">
      <c r="N832" s="10"/>
    </row>
    <row r="833" spans="14:14" ht="13.2">
      <c r="N833" s="10"/>
    </row>
    <row r="834" spans="14:14" ht="13.2">
      <c r="N834" s="10"/>
    </row>
    <row r="835" spans="14:14" ht="13.2">
      <c r="N835" s="10"/>
    </row>
    <row r="836" spans="14:14" ht="13.2">
      <c r="N836" s="10"/>
    </row>
    <row r="837" spans="14:14" ht="13.2">
      <c r="N837" s="10"/>
    </row>
    <row r="838" spans="14:14" ht="13.2">
      <c r="N838" s="10"/>
    </row>
    <row r="839" spans="14:14" ht="13.2">
      <c r="N839" s="10"/>
    </row>
    <row r="840" spans="14:14" ht="13.2">
      <c r="N840" s="10"/>
    </row>
    <row r="841" spans="14:14" ht="13.2">
      <c r="N841" s="10"/>
    </row>
    <row r="842" spans="14:14" ht="13.2">
      <c r="N842" s="10"/>
    </row>
    <row r="843" spans="14:14" ht="13.2">
      <c r="N843" s="10"/>
    </row>
    <row r="844" spans="14:14" ht="13.2">
      <c r="N844" s="10"/>
    </row>
    <row r="845" spans="14:14" ht="13.2">
      <c r="N845" s="10"/>
    </row>
    <row r="846" spans="14:14" ht="13.2">
      <c r="N846" s="10"/>
    </row>
    <row r="847" spans="14:14" ht="13.2">
      <c r="N847" s="10"/>
    </row>
    <row r="848" spans="14:14" ht="13.2">
      <c r="N848" s="10"/>
    </row>
    <row r="849" spans="14:14" ht="13.2">
      <c r="N849" s="10"/>
    </row>
    <row r="850" spans="14:14" ht="13.2">
      <c r="N850" s="10"/>
    </row>
    <row r="851" spans="14:14" ht="13.2">
      <c r="N851" s="10"/>
    </row>
    <row r="852" spans="14:14" ht="13.2">
      <c r="N852" s="10"/>
    </row>
    <row r="853" spans="14:14" ht="13.2">
      <c r="N853" s="10"/>
    </row>
    <row r="854" spans="14:14" ht="13.2">
      <c r="N854" s="10"/>
    </row>
    <row r="855" spans="14:14" ht="13.2">
      <c r="N855" s="10"/>
    </row>
    <row r="856" spans="14:14" ht="13.2">
      <c r="N856" s="10"/>
    </row>
    <row r="857" spans="14:14" ht="13.2">
      <c r="N857" s="10"/>
    </row>
    <row r="858" spans="14:14" ht="13.2">
      <c r="N858" s="10"/>
    </row>
    <row r="859" spans="14:14" ht="13.2">
      <c r="N859" s="10"/>
    </row>
    <row r="860" spans="14:14" ht="13.2">
      <c r="N860" s="10"/>
    </row>
    <row r="861" spans="14:14" ht="13.2">
      <c r="N861" s="10"/>
    </row>
    <row r="862" spans="14:14" ht="13.2">
      <c r="N862" s="10"/>
    </row>
    <row r="863" spans="14:14" ht="13.2">
      <c r="N863" s="10"/>
    </row>
    <row r="864" spans="14:14" ht="13.2">
      <c r="N864" s="10"/>
    </row>
    <row r="865" spans="14:14" ht="13.2">
      <c r="N865" s="10"/>
    </row>
    <row r="866" spans="14:14" ht="13.2">
      <c r="N866" s="10"/>
    </row>
    <row r="867" spans="14:14" ht="13.2">
      <c r="N867" s="10"/>
    </row>
    <row r="868" spans="14:14" ht="13.2">
      <c r="N868" s="10"/>
    </row>
    <row r="869" spans="14:14" ht="13.2">
      <c r="N869" s="10"/>
    </row>
    <row r="870" spans="14:14" ht="13.2">
      <c r="N870" s="10"/>
    </row>
    <row r="871" spans="14:14" ht="13.2">
      <c r="N871" s="10"/>
    </row>
    <row r="872" spans="14:14" ht="13.2">
      <c r="N872" s="10"/>
    </row>
    <row r="873" spans="14:14" ht="13.2">
      <c r="N873" s="10"/>
    </row>
    <row r="874" spans="14:14" ht="13.2">
      <c r="N874" s="10"/>
    </row>
    <row r="875" spans="14:14" ht="13.2">
      <c r="N875" s="10"/>
    </row>
    <row r="876" spans="14:14" ht="13.2">
      <c r="N876" s="10"/>
    </row>
    <row r="877" spans="14:14" ht="13.2">
      <c r="N877" s="10"/>
    </row>
    <row r="878" spans="14:14" ht="13.2">
      <c r="N878" s="10"/>
    </row>
    <row r="879" spans="14:14" ht="13.2">
      <c r="N879" s="10"/>
    </row>
    <row r="880" spans="14:14" ht="13.2">
      <c r="N880" s="10"/>
    </row>
    <row r="881" spans="14:14" ht="13.2">
      <c r="N881" s="10"/>
    </row>
    <row r="882" spans="14:14" ht="13.2">
      <c r="N882" s="10"/>
    </row>
    <row r="883" spans="14:14" ht="13.2">
      <c r="N883" s="10"/>
    </row>
    <row r="884" spans="14:14" ht="13.2">
      <c r="N884" s="10"/>
    </row>
    <row r="885" spans="14:14" ht="13.2">
      <c r="N885" s="10"/>
    </row>
    <row r="886" spans="14:14" ht="13.2">
      <c r="N886" s="10"/>
    </row>
    <row r="887" spans="14:14" ht="13.2">
      <c r="N887" s="10"/>
    </row>
    <row r="888" spans="14:14" ht="13.2">
      <c r="N888" s="10"/>
    </row>
    <row r="889" spans="14:14" ht="13.2">
      <c r="N889" s="10"/>
    </row>
    <row r="890" spans="14:14" ht="13.2">
      <c r="N890" s="10"/>
    </row>
    <row r="891" spans="14:14" ht="13.2">
      <c r="N891" s="10"/>
    </row>
    <row r="892" spans="14:14" ht="13.2">
      <c r="N892" s="10"/>
    </row>
    <row r="893" spans="14:14" ht="13.2">
      <c r="N893" s="10"/>
    </row>
    <row r="894" spans="14:14" ht="13.2">
      <c r="N894" s="10"/>
    </row>
    <row r="895" spans="14:14" ht="13.2">
      <c r="N895" s="10"/>
    </row>
    <row r="896" spans="14:14" ht="13.2">
      <c r="N896" s="10"/>
    </row>
    <row r="897" spans="14:14" ht="13.2">
      <c r="N897" s="10"/>
    </row>
    <row r="898" spans="14:14" ht="13.2">
      <c r="N898" s="10"/>
    </row>
    <row r="899" spans="14:14" ht="13.2">
      <c r="N899" s="10"/>
    </row>
    <row r="900" spans="14:14" ht="13.2">
      <c r="N900" s="10"/>
    </row>
    <row r="901" spans="14:14" ht="13.2">
      <c r="N901" s="10"/>
    </row>
    <row r="902" spans="14:14" ht="13.2">
      <c r="N902" s="10"/>
    </row>
    <row r="903" spans="14:14" ht="13.2">
      <c r="N903" s="10"/>
    </row>
    <row r="904" spans="14:14" ht="13.2">
      <c r="N904" s="10"/>
    </row>
    <row r="905" spans="14:14" ht="13.2">
      <c r="N905" s="10"/>
    </row>
    <row r="906" spans="14:14" ht="13.2">
      <c r="N906" s="10"/>
    </row>
    <row r="907" spans="14:14" ht="13.2">
      <c r="N907" s="10"/>
    </row>
    <row r="908" spans="14:14" ht="13.2">
      <c r="N908" s="10"/>
    </row>
    <row r="909" spans="14:14" ht="13.2">
      <c r="N909" s="10"/>
    </row>
    <row r="910" spans="14:14" ht="13.2">
      <c r="N910" s="10"/>
    </row>
    <row r="911" spans="14:14" ht="13.2">
      <c r="N911" s="10"/>
    </row>
    <row r="912" spans="14:14" ht="13.2">
      <c r="N912" s="10"/>
    </row>
    <row r="913" spans="14:14" ht="13.2">
      <c r="N913" s="10"/>
    </row>
    <row r="914" spans="14:14" ht="13.2">
      <c r="N914" s="10"/>
    </row>
    <row r="915" spans="14:14" ht="13.2">
      <c r="N915" s="10"/>
    </row>
    <row r="916" spans="14:14" ht="13.2">
      <c r="N916" s="10"/>
    </row>
    <row r="917" spans="14:14" ht="13.2">
      <c r="N917" s="10"/>
    </row>
    <row r="918" spans="14:14" ht="13.2">
      <c r="N918" s="10"/>
    </row>
    <row r="919" spans="14:14" ht="13.2">
      <c r="N919" s="10"/>
    </row>
    <row r="920" spans="14:14" ht="13.2">
      <c r="N920" s="10"/>
    </row>
    <row r="921" spans="14:14" ht="13.2">
      <c r="N921" s="10"/>
    </row>
    <row r="922" spans="14:14" ht="13.2">
      <c r="N922" s="10"/>
    </row>
    <row r="923" spans="14:14" ht="13.2">
      <c r="N923" s="10"/>
    </row>
    <row r="924" spans="14:14" ht="13.2">
      <c r="N924" s="10"/>
    </row>
    <row r="925" spans="14:14" ht="13.2">
      <c r="N925" s="10"/>
    </row>
    <row r="926" spans="14:14" ht="13.2">
      <c r="N926" s="10"/>
    </row>
    <row r="927" spans="14:14" ht="13.2">
      <c r="N927" s="10"/>
    </row>
    <row r="928" spans="14:14" ht="13.2">
      <c r="N928" s="10"/>
    </row>
    <row r="929" spans="14:14" ht="13.2">
      <c r="N929" s="10"/>
    </row>
    <row r="930" spans="14:14" ht="13.2">
      <c r="N930" s="10"/>
    </row>
    <row r="931" spans="14:14" ht="13.2">
      <c r="N931" s="10"/>
    </row>
    <row r="932" spans="14:14" ht="13.2">
      <c r="N932" s="10"/>
    </row>
    <row r="933" spans="14:14" ht="13.2">
      <c r="N933" s="10"/>
    </row>
    <row r="934" spans="14:14" ht="13.2">
      <c r="N934" s="10"/>
    </row>
    <row r="935" spans="14:14" ht="13.2">
      <c r="N935" s="10"/>
    </row>
    <row r="936" spans="14:14" ht="13.2">
      <c r="N936" s="10"/>
    </row>
    <row r="937" spans="14:14" ht="13.2">
      <c r="N937" s="10"/>
    </row>
    <row r="938" spans="14:14" ht="13.2">
      <c r="N938" s="10"/>
    </row>
    <row r="939" spans="14:14" ht="13.2">
      <c r="N939" s="10"/>
    </row>
    <row r="940" spans="14:14" ht="13.2">
      <c r="N940" s="10"/>
    </row>
    <row r="941" spans="14:14" ht="13.2">
      <c r="N941" s="10"/>
    </row>
    <row r="942" spans="14:14" ht="13.2">
      <c r="N942" s="10"/>
    </row>
    <row r="943" spans="14:14" ht="13.2">
      <c r="N943" s="10"/>
    </row>
    <row r="944" spans="14:14" ht="13.2">
      <c r="N944" s="10"/>
    </row>
    <row r="945" spans="14:14" ht="13.2">
      <c r="N945" s="10"/>
    </row>
    <row r="946" spans="14:14" ht="13.2">
      <c r="N946" s="10"/>
    </row>
    <row r="947" spans="14:14" ht="13.2">
      <c r="N947" s="10"/>
    </row>
    <row r="948" spans="14:14" ht="13.2">
      <c r="N948" s="10"/>
    </row>
    <row r="949" spans="14:14" ht="13.2">
      <c r="N949" s="10"/>
    </row>
    <row r="950" spans="14:14" ht="13.2">
      <c r="N950" s="10"/>
    </row>
    <row r="951" spans="14:14" ht="13.2">
      <c r="N951" s="10"/>
    </row>
    <row r="952" spans="14:14" ht="13.2">
      <c r="N952" s="10"/>
    </row>
    <row r="953" spans="14:14" ht="13.2">
      <c r="N953" s="10"/>
    </row>
    <row r="954" spans="14:14" ht="13.2">
      <c r="N954" s="10"/>
    </row>
    <row r="955" spans="14:14" ht="13.2">
      <c r="N955" s="10"/>
    </row>
    <row r="956" spans="14:14" ht="13.2">
      <c r="N956" s="10"/>
    </row>
    <row r="957" spans="14:14" ht="13.2">
      <c r="N957" s="10"/>
    </row>
    <row r="958" spans="14:14" ht="13.2">
      <c r="N958" s="10"/>
    </row>
    <row r="959" spans="14:14" ht="13.2">
      <c r="N959" s="10"/>
    </row>
    <row r="960" spans="14:14" ht="13.2">
      <c r="N960" s="10"/>
    </row>
    <row r="961" spans="14:14" ht="13.2">
      <c r="N961" s="10"/>
    </row>
    <row r="962" spans="14:14" ht="13.2">
      <c r="N962" s="10"/>
    </row>
    <row r="963" spans="14:14" ht="13.2">
      <c r="N963" s="10"/>
    </row>
    <row r="964" spans="14:14" ht="13.2">
      <c r="N964" s="10"/>
    </row>
    <row r="965" spans="14:14" ht="13.2">
      <c r="N965" s="10"/>
    </row>
    <row r="966" spans="14:14" ht="13.2">
      <c r="N966" s="10"/>
    </row>
    <row r="967" spans="14:14" ht="13.2">
      <c r="N967" s="10"/>
    </row>
    <row r="968" spans="14:14" ht="13.2">
      <c r="N968" s="10"/>
    </row>
    <row r="969" spans="14:14" ht="13.2">
      <c r="N969" s="10"/>
    </row>
    <row r="970" spans="14:14" ht="13.2">
      <c r="N970" s="10"/>
    </row>
    <row r="971" spans="14:14" ht="13.2">
      <c r="N971" s="10"/>
    </row>
    <row r="972" spans="14:14" ht="13.2">
      <c r="N972" s="10"/>
    </row>
    <row r="973" spans="14:14" ht="13.2">
      <c r="N973" s="10"/>
    </row>
    <row r="974" spans="14:14" ht="13.2">
      <c r="N974" s="10"/>
    </row>
    <row r="975" spans="14:14" ht="13.2">
      <c r="N975" s="10"/>
    </row>
    <row r="976" spans="14:14" ht="13.2">
      <c r="N976" s="10"/>
    </row>
    <row r="977" spans="14:14" ht="13.2">
      <c r="N977" s="10"/>
    </row>
    <row r="978" spans="14:14" ht="13.2">
      <c r="N978" s="10"/>
    </row>
    <row r="979" spans="14:14" ht="13.2">
      <c r="N979" s="10"/>
    </row>
    <row r="980" spans="14:14" ht="13.2">
      <c r="N980" s="10"/>
    </row>
    <row r="981" spans="14:14" ht="13.2">
      <c r="N981" s="10"/>
    </row>
    <row r="982" spans="14:14" ht="13.2">
      <c r="N982" s="10"/>
    </row>
    <row r="983" spans="14:14" ht="13.2">
      <c r="N983" s="10"/>
    </row>
    <row r="984" spans="14:14" ht="13.2">
      <c r="N984" s="10"/>
    </row>
    <row r="985" spans="14:14" ht="13.2">
      <c r="N985" s="10"/>
    </row>
    <row r="986" spans="14:14" ht="13.2">
      <c r="N986" s="10"/>
    </row>
    <row r="987" spans="14:14" ht="13.2">
      <c r="N987" s="10"/>
    </row>
    <row r="988" spans="14:14" ht="13.2">
      <c r="N988" s="10"/>
    </row>
    <row r="989" spans="14:14" ht="13.2">
      <c r="N989" s="10"/>
    </row>
    <row r="990" spans="14:14" ht="13.2">
      <c r="N990" s="10"/>
    </row>
    <row r="991" spans="14:14" ht="13.2">
      <c r="N991" s="10"/>
    </row>
    <row r="992" spans="14:14" ht="13.2">
      <c r="N992" s="10"/>
    </row>
    <row r="993" spans="14:14" ht="13.2">
      <c r="N993" s="10"/>
    </row>
    <row r="994" spans="14:14" ht="13.2">
      <c r="N994" s="10"/>
    </row>
    <row r="995" spans="14:14" ht="13.2">
      <c r="N995" s="10"/>
    </row>
    <row r="996" spans="14:14" ht="13.2">
      <c r="N996" s="10"/>
    </row>
    <row r="997" spans="14:14" ht="13.2">
      <c r="N997" s="10"/>
    </row>
  </sheetData>
  <dataValidations count="2">
    <dataValidation type="list" allowBlank="1" showErrorMessage="1" sqref="C1:C298" xr:uid="{00000000-0002-0000-0000-000000000000}">
      <formula1>"City,Indore ,Pune,Delhi,Lucknow,Jaipur ,Patna,Bhopal,New York,Chicago,Bangalore,California,Texas,Las Vegas,South Carolina,Los Angeles,Arizona,Alaska"</formula1>
    </dataValidation>
    <dataValidation type="list" allowBlank="1" showErrorMessage="1" sqref="B1:B298" xr:uid="{00000000-0002-0000-0000-000001000000}">
      <formula1>"Country,India,USA,UAE,UK"</formula1>
    </dataValidation>
  </dataValidations>
  <hyperlinks>
    <hyperlink ref="A1" r:id="rId1" xr:uid="{00000000-0004-0000-0000-000000000000}"/>
    <hyperlink ref="J2" r:id="rId2" xr:uid="{00000000-0004-0000-0000-000001000000}"/>
    <hyperlink ref="J3" r:id="rId3" xr:uid="{00000000-0004-0000-0000-000002000000}"/>
    <hyperlink ref="J4" r:id="rId4" xr:uid="{00000000-0004-0000-0000-000003000000}"/>
    <hyperlink ref="J5" r:id="rId5" xr:uid="{00000000-0004-0000-0000-000004000000}"/>
    <hyperlink ref="J6" r:id="rId6" xr:uid="{00000000-0004-0000-0000-000005000000}"/>
    <hyperlink ref="J7" r:id="rId7" xr:uid="{00000000-0004-0000-0000-000006000000}"/>
    <hyperlink ref="J8" r:id="rId8" xr:uid="{00000000-0004-0000-0000-000007000000}"/>
    <hyperlink ref="J9" r:id="rId9" xr:uid="{00000000-0004-0000-0000-000008000000}"/>
    <hyperlink ref="J10" r:id="rId10" xr:uid="{00000000-0004-0000-0000-000009000000}"/>
    <hyperlink ref="J11" r:id="rId11" xr:uid="{00000000-0004-0000-0000-00000A000000}"/>
    <hyperlink ref="J12" r:id="rId12" xr:uid="{00000000-0004-0000-0000-00000B000000}"/>
    <hyperlink ref="J13" r:id="rId13" xr:uid="{00000000-0004-0000-0000-00000C000000}"/>
    <hyperlink ref="J14" r:id="rId14" xr:uid="{00000000-0004-0000-0000-00000D000000}"/>
    <hyperlink ref="J15" r:id="rId15" xr:uid="{00000000-0004-0000-0000-00000E000000}"/>
    <hyperlink ref="J16" r:id="rId16" xr:uid="{00000000-0004-0000-0000-00000F000000}"/>
    <hyperlink ref="J17" r:id="rId17" xr:uid="{00000000-0004-0000-0000-000010000000}"/>
    <hyperlink ref="J18" r:id="rId18" xr:uid="{00000000-0004-0000-0000-000011000000}"/>
    <hyperlink ref="J19" r:id="rId19" xr:uid="{00000000-0004-0000-0000-000012000000}"/>
    <hyperlink ref="J20" r:id="rId20" xr:uid="{00000000-0004-0000-0000-000013000000}"/>
    <hyperlink ref="J21" r:id="rId21" xr:uid="{00000000-0004-0000-0000-000014000000}"/>
    <hyperlink ref="J22" r:id="rId22" xr:uid="{00000000-0004-0000-0000-000015000000}"/>
    <hyperlink ref="J23" r:id="rId23" xr:uid="{00000000-0004-0000-0000-000016000000}"/>
    <hyperlink ref="J24" r:id="rId24" xr:uid="{00000000-0004-0000-0000-000017000000}"/>
    <hyperlink ref="J25" r:id="rId25" xr:uid="{00000000-0004-0000-0000-000018000000}"/>
    <hyperlink ref="J26" r:id="rId26" xr:uid="{00000000-0004-0000-0000-000019000000}"/>
    <hyperlink ref="J27" r:id="rId27" xr:uid="{00000000-0004-0000-0000-00001A000000}"/>
    <hyperlink ref="J28" r:id="rId28" xr:uid="{00000000-0004-0000-0000-00001B000000}"/>
    <hyperlink ref="J29" r:id="rId29" xr:uid="{00000000-0004-0000-0000-00001C000000}"/>
    <hyperlink ref="J30" r:id="rId30" xr:uid="{00000000-0004-0000-0000-00001D000000}"/>
    <hyperlink ref="J31" r:id="rId31" xr:uid="{00000000-0004-0000-0000-00001E000000}"/>
    <hyperlink ref="J32" r:id="rId32" xr:uid="{00000000-0004-0000-0000-00001F000000}"/>
    <hyperlink ref="J33" r:id="rId33" xr:uid="{00000000-0004-0000-0000-000020000000}"/>
    <hyperlink ref="J34" r:id="rId34" xr:uid="{00000000-0004-0000-0000-000021000000}"/>
    <hyperlink ref="J35" r:id="rId35" xr:uid="{00000000-0004-0000-0000-000022000000}"/>
    <hyperlink ref="J36" r:id="rId36" xr:uid="{00000000-0004-0000-0000-000023000000}"/>
    <hyperlink ref="J37" r:id="rId37" xr:uid="{00000000-0004-0000-0000-000024000000}"/>
    <hyperlink ref="J38" r:id="rId38" xr:uid="{00000000-0004-0000-0000-000025000000}"/>
    <hyperlink ref="J39" r:id="rId39" xr:uid="{00000000-0004-0000-0000-000026000000}"/>
    <hyperlink ref="J40" r:id="rId40" xr:uid="{00000000-0004-0000-0000-000027000000}"/>
    <hyperlink ref="J41" r:id="rId41" xr:uid="{00000000-0004-0000-0000-000028000000}"/>
    <hyperlink ref="J42" r:id="rId42" xr:uid="{00000000-0004-0000-0000-000029000000}"/>
    <hyperlink ref="J43" r:id="rId43" xr:uid="{00000000-0004-0000-0000-00002A000000}"/>
    <hyperlink ref="J44" r:id="rId44" xr:uid="{00000000-0004-0000-0000-00002B000000}"/>
    <hyperlink ref="J45" r:id="rId45" xr:uid="{00000000-0004-0000-0000-00002C000000}"/>
    <hyperlink ref="J46" r:id="rId46" xr:uid="{00000000-0004-0000-0000-00002D000000}"/>
    <hyperlink ref="J47" r:id="rId47" xr:uid="{00000000-0004-0000-0000-00002E000000}"/>
    <hyperlink ref="J48" r:id="rId48" xr:uid="{00000000-0004-0000-0000-00002F000000}"/>
    <hyperlink ref="J49" r:id="rId49" xr:uid="{00000000-0004-0000-0000-000030000000}"/>
    <hyperlink ref="J50" r:id="rId50" xr:uid="{00000000-0004-0000-0000-000031000000}"/>
    <hyperlink ref="J51" r:id="rId51" xr:uid="{00000000-0004-0000-0000-000032000000}"/>
    <hyperlink ref="J52" r:id="rId52" xr:uid="{00000000-0004-0000-0000-000033000000}"/>
    <hyperlink ref="J53" r:id="rId53" xr:uid="{00000000-0004-0000-0000-000034000000}"/>
    <hyperlink ref="J54" r:id="rId54" xr:uid="{00000000-0004-0000-0000-000035000000}"/>
    <hyperlink ref="J55" r:id="rId55" xr:uid="{00000000-0004-0000-0000-000036000000}"/>
    <hyperlink ref="J56" r:id="rId56" xr:uid="{00000000-0004-0000-0000-000037000000}"/>
    <hyperlink ref="J57" r:id="rId57" xr:uid="{00000000-0004-0000-0000-000038000000}"/>
    <hyperlink ref="J58" r:id="rId58" xr:uid="{00000000-0004-0000-0000-000039000000}"/>
    <hyperlink ref="J59" r:id="rId59" xr:uid="{00000000-0004-0000-0000-00003A000000}"/>
    <hyperlink ref="J60" r:id="rId60" xr:uid="{00000000-0004-0000-0000-00003B000000}"/>
    <hyperlink ref="J61" r:id="rId61" xr:uid="{00000000-0004-0000-0000-00003C000000}"/>
    <hyperlink ref="J62" r:id="rId62" xr:uid="{00000000-0004-0000-0000-00003D000000}"/>
    <hyperlink ref="J63" r:id="rId63" xr:uid="{00000000-0004-0000-0000-00003E000000}"/>
    <hyperlink ref="J64" r:id="rId64" xr:uid="{00000000-0004-0000-0000-00003F000000}"/>
    <hyperlink ref="J65" r:id="rId65" xr:uid="{00000000-0004-0000-0000-000040000000}"/>
    <hyperlink ref="J66" r:id="rId66" xr:uid="{00000000-0004-0000-0000-000041000000}"/>
    <hyperlink ref="J67" r:id="rId67" xr:uid="{00000000-0004-0000-0000-000042000000}"/>
    <hyperlink ref="J68" r:id="rId68" xr:uid="{00000000-0004-0000-0000-000043000000}"/>
    <hyperlink ref="J69" r:id="rId69" xr:uid="{00000000-0004-0000-0000-000044000000}"/>
    <hyperlink ref="J70" r:id="rId70" xr:uid="{00000000-0004-0000-0000-000045000000}"/>
    <hyperlink ref="J71" r:id="rId71" xr:uid="{00000000-0004-0000-0000-000046000000}"/>
    <hyperlink ref="J72" r:id="rId72" xr:uid="{00000000-0004-0000-0000-000047000000}"/>
    <hyperlink ref="J73" r:id="rId73" xr:uid="{00000000-0004-0000-0000-000048000000}"/>
    <hyperlink ref="J74" r:id="rId74" xr:uid="{00000000-0004-0000-0000-000049000000}"/>
    <hyperlink ref="J75" r:id="rId75" xr:uid="{00000000-0004-0000-0000-00004A000000}"/>
    <hyperlink ref="J76" r:id="rId76" xr:uid="{00000000-0004-0000-0000-00004B000000}"/>
    <hyperlink ref="J77" r:id="rId77" xr:uid="{00000000-0004-0000-0000-00004C000000}"/>
    <hyperlink ref="J78" r:id="rId78" xr:uid="{00000000-0004-0000-0000-00004D000000}"/>
    <hyperlink ref="J79" r:id="rId79" xr:uid="{00000000-0004-0000-0000-00004E000000}"/>
    <hyperlink ref="J80" r:id="rId80" xr:uid="{00000000-0004-0000-0000-00004F000000}"/>
    <hyperlink ref="J81" r:id="rId81" xr:uid="{00000000-0004-0000-0000-000050000000}"/>
    <hyperlink ref="J82" r:id="rId82" xr:uid="{00000000-0004-0000-0000-000051000000}"/>
    <hyperlink ref="J83" r:id="rId83" xr:uid="{00000000-0004-0000-0000-000052000000}"/>
    <hyperlink ref="J84" r:id="rId84" xr:uid="{00000000-0004-0000-0000-000053000000}"/>
    <hyperlink ref="J85" r:id="rId85" xr:uid="{00000000-0004-0000-0000-000054000000}"/>
    <hyperlink ref="J86" r:id="rId86" xr:uid="{00000000-0004-0000-0000-000055000000}"/>
    <hyperlink ref="J87" r:id="rId87" xr:uid="{00000000-0004-0000-0000-000056000000}"/>
    <hyperlink ref="J88" r:id="rId88" xr:uid="{00000000-0004-0000-0000-000057000000}"/>
    <hyperlink ref="J89" r:id="rId89" xr:uid="{00000000-0004-0000-0000-000058000000}"/>
    <hyperlink ref="J90" r:id="rId90" xr:uid="{00000000-0004-0000-0000-000059000000}"/>
    <hyperlink ref="J91" r:id="rId91" xr:uid="{00000000-0004-0000-0000-00005A000000}"/>
    <hyperlink ref="J92" r:id="rId92" xr:uid="{00000000-0004-0000-0000-00005B000000}"/>
    <hyperlink ref="J93" r:id="rId93" xr:uid="{00000000-0004-0000-0000-00005C000000}"/>
    <hyperlink ref="J94" r:id="rId94" xr:uid="{00000000-0004-0000-0000-00005D000000}"/>
    <hyperlink ref="J95" r:id="rId95" xr:uid="{00000000-0004-0000-0000-00005E000000}"/>
    <hyperlink ref="J96" r:id="rId96" xr:uid="{00000000-0004-0000-0000-00005F000000}"/>
    <hyperlink ref="J97" r:id="rId97" xr:uid="{00000000-0004-0000-0000-000060000000}"/>
    <hyperlink ref="J98" r:id="rId98" xr:uid="{00000000-0004-0000-0000-000061000000}"/>
    <hyperlink ref="J99" r:id="rId99" xr:uid="{00000000-0004-0000-0000-000062000000}"/>
    <hyperlink ref="J100" r:id="rId100" xr:uid="{00000000-0004-0000-0000-000063000000}"/>
    <hyperlink ref="J101" r:id="rId101" xr:uid="{00000000-0004-0000-0000-000064000000}"/>
    <hyperlink ref="J102" r:id="rId102" xr:uid="{00000000-0004-0000-0000-000065000000}"/>
    <hyperlink ref="J103" r:id="rId103" xr:uid="{00000000-0004-0000-0000-000066000000}"/>
    <hyperlink ref="J104" r:id="rId104" xr:uid="{00000000-0004-0000-0000-000067000000}"/>
    <hyperlink ref="J105" r:id="rId105" xr:uid="{00000000-0004-0000-0000-000068000000}"/>
    <hyperlink ref="J106" r:id="rId106" xr:uid="{00000000-0004-0000-0000-000069000000}"/>
    <hyperlink ref="J107" r:id="rId107" xr:uid="{00000000-0004-0000-0000-00006A000000}"/>
    <hyperlink ref="J108" r:id="rId108" xr:uid="{00000000-0004-0000-0000-00006B000000}"/>
    <hyperlink ref="J109" r:id="rId109" xr:uid="{00000000-0004-0000-0000-00006C000000}"/>
    <hyperlink ref="J110" r:id="rId110" xr:uid="{00000000-0004-0000-0000-00006D000000}"/>
    <hyperlink ref="J111" r:id="rId111" xr:uid="{00000000-0004-0000-0000-00006E000000}"/>
    <hyperlink ref="J112" r:id="rId112" xr:uid="{00000000-0004-0000-0000-00006F000000}"/>
    <hyperlink ref="J113" r:id="rId113" xr:uid="{00000000-0004-0000-0000-000070000000}"/>
    <hyperlink ref="J114" r:id="rId114" xr:uid="{00000000-0004-0000-0000-000071000000}"/>
    <hyperlink ref="J115" r:id="rId115" xr:uid="{00000000-0004-0000-0000-000072000000}"/>
    <hyperlink ref="J116" r:id="rId116" xr:uid="{00000000-0004-0000-0000-000073000000}"/>
    <hyperlink ref="J117" r:id="rId117" xr:uid="{00000000-0004-0000-0000-000074000000}"/>
    <hyperlink ref="J118" r:id="rId118" xr:uid="{00000000-0004-0000-0000-000075000000}"/>
    <hyperlink ref="J119" r:id="rId119" xr:uid="{00000000-0004-0000-0000-000076000000}"/>
    <hyperlink ref="J120" r:id="rId120" xr:uid="{00000000-0004-0000-0000-000077000000}"/>
    <hyperlink ref="J121" r:id="rId121" xr:uid="{00000000-0004-0000-0000-000078000000}"/>
    <hyperlink ref="J122" r:id="rId122" xr:uid="{00000000-0004-0000-0000-000079000000}"/>
    <hyperlink ref="J123" r:id="rId123" xr:uid="{00000000-0004-0000-0000-00007A000000}"/>
    <hyperlink ref="J124" r:id="rId124" xr:uid="{00000000-0004-0000-0000-00007B000000}"/>
    <hyperlink ref="J125" r:id="rId125" xr:uid="{00000000-0004-0000-0000-00007C000000}"/>
    <hyperlink ref="J126" r:id="rId126" xr:uid="{00000000-0004-0000-0000-00007D000000}"/>
    <hyperlink ref="J127" r:id="rId127" xr:uid="{00000000-0004-0000-0000-00007E000000}"/>
    <hyperlink ref="J128" r:id="rId128" xr:uid="{00000000-0004-0000-0000-00007F000000}"/>
    <hyperlink ref="J129" r:id="rId129" xr:uid="{00000000-0004-0000-0000-000080000000}"/>
    <hyperlink ref="J130" r:id="rId130" xr:uid="{00000000-0004-0000-0000-000081000000}"/>
    <hyperlink ref="J131" r:id="rId131" xr:uid="{00000000-0004-0000-0000-000082000000}"/>
    <hyperlink ref="J132" r:id="rId132" xr:uid="{00000000-0004-0000-0000-000083000000}"/>
    <hyperlink ref="J133" r:id="rId133" xr:uid="{00000000-0004-0000-0000-000084000000}"/>
    <hyperlink ref="J134" r:id="rId134" xr:uid="{00000000-0004-0000-0000-000085000000}"/>
    <hyperlink ref="J135" r:id="rId135" xr:uid="{00000000-0004-0000-0000-000086000000}"/>
    <hyperlink ref="J136" r:id="rId136" xr:uid="{00000000-0004-0000-0000-000087000000}"/>
    <hyperlink ref="J137" r:id="rId137" xr:uid="{00000000-0004-0000-0000-000088000000}"/>
    <hyperlink ref="J138" r:id="rId138" xr:uid="{00000000-0004-0000-0000-000089000000}"/>
    <hyperlink ref="J139" r:id="rId139" xr:uid="{00000000-0004-0000-0000-00008A000000}"/>
    <hyperlink ref="J140" r:id="rId140" xr:uid="{00000000-0004-0000-0000-00008B000000}"/>
    <hyperlink ref="J141" r:id="rId141" xr:uid="{00000000-0004-0000-0000-00008C000000}"/>
    <hyperlink ref="J142" r:id="rId142" xr:uid="{00000000-0004-0000-0000-00008D000000}"/>
    <hyperlink ref="J143" r:id="rId143" xr:uid="{00000000-0004-0000-0000-00008E000000}"/>
    <hyperlink ref="J144" r:id="rId144" xr:uid="{00000000-0004-0000-0000-00008F000000}"/>
    <hyperlink ref="J145" r:id="rId145" xr:uid="{00000000-0004-0000-0000-000090000000}"/>
    <hyperlink ref="J146" r:id="rId146" xr:uid="{00000000-0004-0000-0000-000091000000}"/>
    <hyperlink ref="J147" r:id="rId147" xr:uid="{00000000-0004-0000-0000-000092000000}"/>
    <hyperlink ref="J148" r:id="rId148" xr:uid="{00000000-0004-0000-0000-000093000000}"/>
    <hyperlink ref="J149" r:id="rId149" xr:uid="{00000000-0004-0000-0000-000094000000}"/>
    <hyperlink ref="J150" r:id="rId150" xr:uid="{00000000-0004-0000-0000-000095000000}"/>
    <hyperlink ref="J151" r:id="rId151" xr:uid="{00000000-0004-0000-0000-000096000000}"/>
    <hyperlink ref="J152" r:id="rId152" xr:uid="{00000000-0004-0000-0000-000097000000}"/>
    <hyperlink ref="J153" r:id="rId153" xr:uid="{00000000-0004-0000-0000-000098000000}"/>
    <hyperlink ref="J154" r:id="rId154" xr:uid="{00000000-0004-0000-0000-000099000000}"/>
    <hyperlink ref="J155" r:id="rId155" xr:uid="{00000000-0004-0000-0000-00009A000000}"/>
    <hyperlink ref="J156" r:id="rId156" xr:uid="{00000000-0004-0000-0000-00009B000000}"/>
    <hyperlink ref="J157" r:id="rId157" xr:uid="{00000000-0004-0000-0000-00009C000000}"/>
    <hyperlink ref="J158" r:id="rId158" xr:uid="{00000000-0004-0000-0000-00009D000000}"/>
    <hyperlink ref="J159" r:id="rId159" xr:uid="{00000000-0004-0000-0000-00009E000000}"/>
    <hyperlink ref="J160" r:id="rId160" xr:uid="{00000000-0004-0000-0000-00009F000000}"/>
    <hyperlink ref="J161" r:id="rId161" xr:uid="{00000000-0004-0000-0000-0000A0000000}"/>
    <hyperlink ref="J162" r:id="rId162" xr:uid="{00000000-0004-0000-0000-0000A1000000}"/>
    <hyperlink ref="J163" r:id="rId163" xr:uid="{00000000-0004-0000-0000-0000A2000000}"/>
    <hyperlink ref="J164" r:id="rId164" xr:uid="{00000000-0004-0000-0000-0000A3000000}"/>
    <hyperlink ref="J165" r:id="rId165" xr:uid="{00000000-0004-0000-0000-0000A4000000}"/>
    <hyperlink ref="J166" r:id="rId166" xr:uid="{00000000-0004-0000-0000-0000A5000000}"/>
    <hyperlink ref="J167" r:id="rId167" xr:uid="{00000000-0004-0000-0000-0000A6000000}"/>
    <hyperlink ref="J168" r:id="rId168" xr:uid="{00000000-0004-0000-0000-0000A7000000}"/>
    <hyperlink ref="J169" r:id="rId169" xr:uid="{00000000-0004-0000-0000-0000A8000000}"/>
    <hyperlink ref="J170" r:id="rId170" xr:uid="{00000000-0004-0000-0000-0000A9000000}"/>
    <hyperlink ref="J171" r:id="rId171" xr:uid="{00000000-0004-0000-0000-0000AA000000}"/>
    <hyperlink ref="J172" r:id="rId172" xr:uid="{00000000-0004-0000-0000-0000AB000000}"/>
    <hyperlink ref="J173" r:id="rId173" xr:uid="{00000000-0004-0000-0000-0000AC000000}"/>
    <hyperlink ref="J174" r:id="rId174" xr:uid="{00000000-0004-0000-0000-0000AD000000}"/>
    <hyperlink ref="J175" r:id="rId175" xr:uid="{00000000-0004-0000-0000-0000AE000000}"/>
    <hyperlink ref="J176" r:id="rId176" xr:uid="{00000000-0004-0000-0000-0000AF000000}"/>
    <hyperlink ref="J177" r:id="rId177" xr:uid="{00000000-0004-0000-0000-0000B0000000}"/>
    <hyperlink ref="J178" r:id="rId178" xr:uid="{00000000-0004-0000-0000-0000B1000000}"/>
    <hyperlink ref="J179" r:id="rId179" xr:uid="{00000000-0004-0000-0000-0000B2000000}"/>
    <hyperlink ref="J180" r:id="rId180" xr:uid="{00000000-0004-0000-0000-0000B3000000}"/>
    <hyperlink ref="J181" r:id="rId181" xr:uid="{00000000-0004-0000-0000-0000B4000000}"/>
    <hyperlink ref="J182" r:id="rId182" xr:uid="{00000000-0004-0000-0000-0000B5000000}"/>
    <hyperlink ref="J183" r:id="rId183" xr:uid="{00000000-0004-0000-0000-0000B6000000}"/>
    <hyperlink ref="J184" r:id="rId184" xr:uid="{00000000-0004-0000-0000-0000B7000000}"/>
    <hyperlink ref="J185" r:id="rId185" xr:uid="{00000000-0004-0000-0000-0000B8000000}"/>
    <hyperlink ref="J186" r:id="rId186" xr:uid="{00000000-0004-0000-0000-0000B9000000}"/>
    <hyperlink ref="J187" r:id="rId187" xr:uid="{00000000-0004-0000-0000-0000BA000000}"/>
    <hyperlink ref="J188" r:id="rId188" xr:uid="{00000000-0004-0000-0000-0000BB000000}"/>
    <hyperlink ref="J189" r:id="rId189" xr:uid="{00000000-0004-0000-0000-0000BC000000}"/>
    <hyperlink ref="J190" r:id="rId190" xr:uid="{00000000-0004-0000-0000-0000BD000000}"/>
    <hyperlink ref="J191" r:id="rId191" xr:uid="{00000000-0004-0000-0000-0000BE000000}"/>
    <hyperlink ref="J192" r:id="rId192" xr:uid="{00000000-0004-0000-0000-0000BF000000}"/>
    <hyperlink ref="J193" r:id="rId193" xr:uid="{00000000-0004-0000-0000-0000C0000000}"/>
    <hyperlink ref="J194" r:id="rId194" xr:uid="{00000000-0004-0000-0000-0000C1000000}"/>
    <hyperlink ref="J195" r:id="rId195" xr:uid="{00000000-0004-0000-0000-0000C2000000}"/>
    <hyperlink ref="J196" r:id="rId196" xr:uid="{00000000-0004-0000-0000-0000C3000000}"/>
    <hyperlink ref="J197" r:id="rId197" xr:uid="{00000000-0004-0000-0000-0000C4000000}"/>
    <hyperlink ref="J198" r:id="rId198" xr:uid="{00000000-0004-0000-0000-0000C5000000}"/>
    <hyperlink ref="J199" r:id="rId199" xr:uid="{00000000-0004-0000-0000-0000C6000000}"/>
    <hyperlink ref="J200" r:id="rId200" xr:uid="{00000000-0004-0000-0000-0000C7000000}"/>
    <hyperlink ref="J201" r:id="rId201" xr:uid="{00000000-0004-0000-0000-0000C8000000}"/>
    <hyperlink ref="J202" r:id="rId202" xr:uid="{00000000-0004-0000-0000-0000C9000000}"/>
    <hyperlink ref="J203" r:id="rId203" xr:uid="{00000000-0004-0000-0000-0000CA000000}"/>
    <hyperlink ref="J204" r:id="rId204" xr:uid="{00000000-0004-0000-0000-0000CB000000}"/>
    <hyperlink ref="J205" r:id="rId205" xr:uid="{00000000-0004-0000-0000-0000CC000000}"/>
    <hyperlink ref="J206" r:id="rId206" xr:uid="{00000000-0004-0000-0000-0000CD000000}"/>
    <hyperlink ref="J207" r:id="rId207" xr:uid="{00000000-0004-0000-0000-0000CE000000}"/>
    <hyperlink ref="J208" r:id="rId208" xr:uid="{00000000-0004-0000-0000-0000CF000000}"/>
    <hyperlink ref="J209" r:id="rId209" xr:uid="{00000000-0004-0000-0000-0000D0000000}"/>
    <hyperlink ref="J210" r:id="rId210" xr:uid="{00000000-0004-0000-0000-0000D1000000}"/>
    <hyperlink ref="J211" r:id="rId211" xr:uid="{00000000-0004-0000-0000-0000D2000000}"/>
    <hyperlink ref="J212" r:id="rId212" xr:uid="{00000000-0004-0000-0000-0000D3000000}"/>
    <hyperlink ref="J213" r:id="rId213" xr:uid="{00000000-0004-0000-0000-0000D4000000}"/>
    <hyperlink ref="J214" r:id="rId214" xr:uid="{00000000-0004-0000-0000-0000D5000000}"/>
    <hyperlink ref="J215" r:id="rId215" xr:uid="{00000000-0004-0000-0000-0000D6000000}"/>
    <hyperlink ref="J216" r:id="rId216" xr:uid="{00000000-0004-0000-0000-0000D7000000}"/>
    <hyperlink ref="J217" r:id="rId217" xr:uid="{00000000-0004-0000-0000-0000D8000000}"/>
    <hyperlink ref="J218" r:id="rId218" xr:uid="{00000000-0004-0000-0000-0000D9000000}"/>
    <hyperlink ref="J219" r:id="rId219" xr:uid="{00000000-0004-0000-0000-0000DA000000}"/>
    <hyperlink ref="J220" r:id="rId220" xr:uid="{00000000-0004-0000-0000-0000DB000000}"/>
    <hyperlink ref="J221" r:id="rId221" xr:uid="{00000000-0004-0000-0000-0000DC000000}"/>
    <hyperlink ref="J222" r:id="rId222" xr:uid="{00000000-0004-0000-0000-0000DD000000}"/>
    <hyperlink ref="J223" r:id="rId223" xr:uid="{00000000-0004-0000-0000-0000DE000000}"/>
    <hyperlink ref="J224" r:id="rId224" xr:uid="{00000000-0004-0000-0000-0000DF000000}"/>
    <hyperlink ref="J225" r:id="rId225" xr:uid="{00000000-0004-0000-0000-0000E0000000}"/>
    <hyperlink ref="J226" r:id="rId226" xr:uid="{00000000-0004-0000-0000-0000E1000000}"/>
    <hyperlink ref="J227" r:id="rId227" xr:uid="{00000000-0004-0000-0000-0000E2000000}"/>
    <hyperlink ref="J228" r:id="rId228" xr:uid="{00000000-0004-0000-0000-0000E3000000}"/>
    <hyperlink ref="J229" r:id="rId229" xr:uid="{00000000-0004-0000-0000-0000E4000000}"/>
    <hyperlink ref="J230" r:id="rId230" xr:uid="{00000000-0004-0000-0000-0000E5000000}"/>
    <hyperlink ref="J231" r:id="rId231" xr:uid="{00000000-0004-0000-0000-0000E6000000}"/>
    <hyperlink ref="J232" r:id="rId232" xr:uid="{00000000-0004-0000-0000-0000E7000000}"/>
    <hyperlink ref="J233" r:id="rId233" xr:uid="{00000000-0004-0000-0000-0000E8000000}"/>
    <hyperlink ref="J234" r:id="rId234" xr:uid="{00000000-0004-0000-0000-0000E9000000}"/>
    <hyperlink ref="J235" r:id="rId235" xr:uid="{00000000-0004-0000-0000-0000EA000000}"/>
    <hyperlink ref="J236" r:id="rId236" xr:uid="{00000000-0004-0000-0000-0000EB000000}"/>
    <hyperlink ref="J237" r:id="rId237" xr:uid="{00000000-0004-0000-0000-0000EC000000}"/>
    <hyperlink ref="J238" r:id="rId238" xr:uid="{00000000-0004-0000-0000-0000ED000000}"/>
    <hyperlink ref="J239" r:id="rId239" xr:uid="{00000000-0004-0000-0000-0000EE000000}"/>
    <hyperlink ref="J240" r:id="rId240" xr:uid="{00000000-0004-0000-0000-0000EF000000}"/>
    <hyperlink ref="J241" r:id="rId241" xr:uid="{00000000-0004-0000-0000-0000F0000000}"/>
    <hyperlink ref="J242" r:id="rId242" xr:uid="{00000000-0004-0000-0000-0000F1000000}"/>
    <hyperlink ref="J243" r:id="rId243" xr:uid="{00000000-0004-0000-0000-0000F2000000}"/>
    <hyperlink ref="J244" r:id="rId244" xr:uid="{00000000-0004-0000-0000-0000F3000000}"/>
    <hyperlink ref="J245" r:id="rId245" xr:uid="{00000000-0004-0000-0000-0000F4000000}"/>
    <hyperlink ref="J246" r:id="rId246" xr:uid="{00000000-0004-0000-0000-0000F5000000}"/>
    <hyperlink ref="J247" r:id="rId247" xr:uid="{00000000-0004-0000-0000-0000F6000000}"/>
    <hyperlink ref="J248" r:id="rId248" xr:uid="{00000000-0004-0000-0000-0000F7000000}"/>
    <hyperlink ref="J249" r:id="rId249" xr:uid="{00000000-0004-0000-0000-0000F8000000}"/>
    <hyperlink ref="J250" r:id="rId250" xr:uid="{00000000-0004-0000-0000-0000F9000000}"/>
    <hyperlink ref="J251" r:id="rId251" xr:uid="{00000000-0004-0000-0000-0000FA000000}"/>
    <hyperlink ref="J252" r:id="rId252" xr:uid="{00000000-0004-0000-0000-0000FB000000}"/>
    <hyperlink ref="J253" r:id="rId253" xr:uid="{00000000-0004-0000-0000-0000FC000000}"/>
    <hyperlink ref="J254" r:id="rId254" xr:uid="{00000000-0004-0000-0000-0000FD000000}"/>
    <hyperlink ref="J255" r:id="rId255" xr:uid="{00000000-0004-0000-0000-0000FE000000}"/>
    <hyperlink ref="J256" r:id="rId256" xr:uid="{00000000-0004-0000-0000-0000FF000000}"/>
    <hyperlink ref="J257" r:id="rId257" xr:uid="{00000000-0004-0000-0000-000000010000}"/>
    <hyperlink ref="J258" r:id="rId258" xr:uid="{00000000-0004-0000-0000-000001010000}"/>
    <hyperlink ref="J259" r:id="rId259" xr:uid="{00000000-0004-0000-0000-000002010000}"/>
    <hyperlink ref="J260" r:id="rId260" xr:uid="{00000000-0004-0000-0000-000003010000}"/>
    <hyperlink ref="J261" r:id="rId261" xr:uid="{00000000-0004-0000-0000-000004010000}"/>
    <hyperlink ref="J262" r:id="rId262" xr:uid="{00000000-0004-0000-0000-000005010000}"/>
    <hyperlink ref="J263" r:id="rId263" xr:uid="{00000000-0004-0000-0000-000006010000}"/>
    <hyperlink ref="J264" r:id="rId264" xr:uid="{00000000-0004-0000-0000-000007010000}"/>
    <hyperlink ref="J265" r:id="rId265" xr:uid="{00000000-0004-0000-0000-000008010000}"/>
    <hyperlink ref="J266" r:id="rId266" xr:uid="{00000000-0004-0000-0000-000009010000}"/>
    <hyperlink ref="J267" r:id="rId267" xr:uid="{00000000-0004-0000-0000-00000A010000}"/>
    <hyperlink ref="J268" r:id="rId268" xr:uid="{00000000-0004-0000-0000-00000B010000}"/>
    <hyperlink ref="J269" r:id="rId269" xr:uid="{00000000-0004-0000-0000-00000C010000}"/>
    <hyperlink ref="J270" r:id="rId270" xr:uid="{00000000-0004-0000-0000-00000D010000}"/>
    <hyperlink ref="J271" r:id="rId271" xr:uid="{00000000-0004-0000-0000-00000E010000}"/>
    <hyperlink ref="J272" r:id="rId272" xr:uid="{00000000-0004-0000-0000-00000F010000}"/>
    <hyperlink ref="J273" r:id="rId273" xr:uid="{00000000-0004-0000-0000-000010010000}"/>
    <hyperlink ref="J274" r:id="rId274" xr:uid="{00000000-0004-0000-0000-000011010000}"/>
    <hyperlink ref="J275" r:id="rId275" xr:uid="{00000000-0004-0000-0000-000012010000}"/>
    <hyperlink ref="J276" r:id="rId276" xr:uid="{00000000-0004-0000-0000-000013010000}"/>
    <hyperlink ref="J277" r:id="rId277" xr:uid="{00000000-0004-0000-0000-000014010000}"/>
    <hyperlink ref="J278" r:id="rId278" xr:uid="{00000000-0004-0000-0000-000015010000}"/>
    <hyperlink ref="J279" r:id="rId279" xr:uid="{00000000-0004-0000-0000-000016010000}"/>
    <hyperlink ref="J280" r:id="rId280" xr:uid="{00000000-0004-0000-0000-000017010000}"/>
    <hyperlink ref="J281" r:id="rId281" xr:uid="{00000000-0004-0000-0000-000018010000}"/>
    <hyperlink ref="J282" r:id="rId282" xr:uid="{00000000-0004-0000-0000-000019010000}"/>
    <hyperlink ref="J283" r:id="rId283" xr:uid="{00000000-0004-0000-0000-00001A010000}"/>
    <hyperlink ref="J284" r:id="rId284" xr:uid="{00000000-0004-0000-0000-00001B010000}"/>
    <hyperlink ref="J285" r:id="rId285" xr:uid="{00000000-0004-0000-0000-00001C010000}"/>
    <hyperlink ref="J286" r:id="rId286" xr:uid="{00000000-0004-0000-0000-00001D010000}"/>
    <hyperlink ref="J287" r:id="rId287" xr:uid="{00000000-0004-0000-0000-00001E010000}"/>
    <hyperlink ref="J288" r:id="rId288" xr:uid="{00000000-0004-0000-0000-00001F010000}"/>
    <hyperlink ref="J289" r:id="rId289" xr:uid="{00000000-0004-0000-0000-000020010000}"/>
    <hyperlink ref="J290" r:id="rId290" xr:uid="{00000000-0004-0000-0000-000021010000}"/>
    <hyperlink ref="J291" r:id="rId291" xr:uid="{00000000-0004-0000-0000-000022010000}"/>
    <hyperlink ref="J292" r:id="rId292" xr:uid="{00000000-0004-0000-0000-000023010000}"/>
    <hyperlink ref="J293" r:id="rId293" xr:uid="{00000000-0004-0000-0000-000024010000}"/>
    <hyperlink ref="J294" r:id="rId294" xr:uid="{00000000-0004-0000-0000-000025010000}"/>
    <hyperlink ref="J295" r:id="rId295" xr:uid="{00000000-0004-0000-0000-000026010000}"/>
    <hyperlink ref="J296" r:id="rId296" xr:uid="{00000000-0004-0000-0000-000027010000}"/>
    <hyperlink ref="J297" r:id="rId297" xr:uid="{00000000-0004-0000-0000-000028010000}"/>
    <hyperlink ref="J298" r:id="rId298" xr:uid="{00000000-0004-0000-0000-000029010000}"/>
  </hyperlinks>
  <pageMargins left="0.7" right="0.7" top="0.75" bottom="0.75" header="0.3" footer="0.3"/>
  <legacyDrawing r:id="rId29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268"/>
  <sheetViews>
    <sheetView zoomScale="68" workbookViewId="0">
      <selection activeCell="N2" sqref="N2:V42"/>
    </sheetView>
  </sheetViews>
  <sheetFormatPr defaultColWidth="12.6640625" defaultRowHeight="15.75" customHeight="1"/>
  <sheetData>
    <row r="1" spans="1:22" ht="13.2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2"/>
      <c r="O1" s="33"/>
      <c r="P1" s="33"/>
      <c r="Q1" s="33"/>
    </row>
    <row r="2" spans="1:22" ht="13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2"/>
      <c r="O2" s="33"/>
      <c r="P2" s="33"/>
      <c r="Q2" s="33"/>
      <c r="R2" s="33"/>
      <c r="S2" s="33"/>
      <c r="T2" s="33"/>
      <c r="U2" s="33"/>
      <c r="V2" s="33"/>
    </row>
    <row r="3" spans="1:22" ht="15.7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ht="15.75" customHeigh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ht="15.7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ht="15.75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spans="1:22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 spans="1:22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ht="15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</row>
    <row r="10" spans="1:22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</row>
    <row r="11" spans="1:22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 spans="1:2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 spans="1:22" ht="15.7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 spans="1:22" ht="15.7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 spans="1:22" ht="15.7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 spans="1:22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 spans="1:22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spans="1:22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 spans="1:22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</row>
    <row r="20" spans="1:22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 spans="1:22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 spans="1: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 spans="1:22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 spans="1:22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 spans="1:22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spans="1:22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 spans="1:22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1:22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 spans="1:22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 spans="1:22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 spans="1:22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 spans="1:2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 spans="1:22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</row>
    <row r="34" spans="1:22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</row>
    <row r="35" spans="1:22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</row>
    <row r="36" spans="1:22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 spans="1:22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 spans="1:22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</row>
    <row r="39" spans="1:22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 spans="1:22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 spans="1:22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 spans="1:2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 spans="1:22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1:22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</row>
    <row r="45" spans="1:22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</row>
    <row r="46" spans="1:22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</row>
    <row r="47" spans="1:22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48" spans="1:22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 spans="1:13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</row>
    <row r="50" spans="1:13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</row>
    <row r="51" spans="1:13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</row>
    <row r="52" spans="1:13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spans="1:1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</row>
    <row r="54" spans="1:13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</row>
    <row r="55" spans="1:13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 spans="1:13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 spans="1:13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8" spans="1:13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1:13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 spans="1:13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1:13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</row>
    <row r="62" spans="1:13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</row>
    <row r="63" spans="1:1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 spans="1:13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 spans="1:13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 spans="1:13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 spans="1:13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 spans="1:13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 spans="1:13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 spans="1:13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 spans="1:13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 spans="1:13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</row>
    <row r="73" spans="1:1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</row>
    <row r="74" spans="1:13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</row>
    <row r="75" spans="1:13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 spans="1:13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 spans="1:13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 spans="1:13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</row>
    <row r="79" spans="1:13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</row>
    <row r="80" spans="1:13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 spans="1:13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 spans="1:13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 spans="1:1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 spans="1:13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 spans="1:13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3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 spans="1:13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 spans="1:13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 spans="1:13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 spans="1:13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 spans="1:13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 spans="1:13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 spans="1:1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 spans="1:13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</row>
    <row r="95" spans="1:13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 spans="1:13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 spans="1:13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 spans="1:13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 spans="1:13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 spans="1:13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 spans="1:13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 spans="1:13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 spans="1:1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 spans="1:13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 spans="1:13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 spans="1:13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 spans="1:13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 spans="1:13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 spans="1:13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 spans="1:13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 spans="1:13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 spans="1:13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 spans="1: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 spans="1:13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 spans="1:13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 spans="1:13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 spans="1:13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 spans="1:13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 spans="1:13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 spans="1:13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 spans="1:13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 spans="1:13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 spans="1:1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 spans="1:13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 spans="1:13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 spans="1:13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 spans="1:13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 spans="1:13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 spans="1:13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 spans="1:13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 spans="1:13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 spans="1:13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 spans="1:1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 spans="1:13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 spans="1:13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 spans="1:13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 spans="1:13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 spans="1:13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 spans="1:13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 spans="1:13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 spans="1:13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 spans="1:13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 spans="1:1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 spans="1:13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 spans="1:13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 spans="1:13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 spans="1:13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 spans="1:13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 spans="1:13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 spans="1:13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 spans="1:13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 spans="1:13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 spans="1:1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 spans="1:13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 spans="1:13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 spans="1:13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 spans="1:13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 spans="1:13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 spans="1:13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 spans="1:13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 spans="1:13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 spans="1:13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 spans="1:1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 spans="1:13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 spans="1:13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 spans="1:13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 spans="1:13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 spans="1:13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 spans="1:13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 spans="1:13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 spans="1:13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 spans="1:13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 spans="1:1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 spans="1:13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 spans="1:13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 spans="1:13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 spans="1:13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 spans="1:13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 spans="1:13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 spans="1:13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 spans="1:13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 spans="1:13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 spans="1:1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 spans="1:13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 spans="1:13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 spans="1:13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 spans="1:13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 spans="1:13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 spans="1:13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 spans="1:13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 spans="1:13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 spans="1:13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 spans="1:1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 spans="1:13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 spans="1:13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 spans="1:13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 spans="1:13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 spans="1:13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 spans="1:13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 spans="1:13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 spans="1:13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 spans="1:13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 spans="1:1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 spans="1:13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 spans="1:13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 spans="1:13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 spans="1:13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 spans="1:13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 spans="1:13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 spans="1:13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 spans="1:13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 spans="1:13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 spans="1: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 spans="1:13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 spans="1:13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 spans="1:13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 spans="1:13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 spans="1:13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 spans="1:13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 spans="1:13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 spans="1:13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 spans="1:13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 spans="1:1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 spans="1:13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 spans="1:13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 spans="1:13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 spans="1:13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 spans="1:13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 spans="1:13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 spans="1:13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 spans="1:13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 spans="1:13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 spans="1:1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 spans="1:13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 spans="1:13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 spans="1:13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 spans="1:13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 spans="1:13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 spans="1:13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 spans="1:13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 spans="1:13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 spans="1:13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 spans="1:1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 spans="1:13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 spans="1:13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 spans="1:13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 spans="1:13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 spans="1:13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 spans="1:13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 spans="1:13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 spans="1:13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 spans="1:13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 spans="1:1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 spans="1:13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 spans="1:13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 spans="1:13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 spans="1:13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 spans="1:13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 spans="1:13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 spans="1:13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 spans="1:13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 spans="1:13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 spans="1:1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 spans="1:13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 spans="1:13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 spans="1:13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 spans="1:13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 spans="1:13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</sheetData>
  <mergeCells count="3">
    <mergeCell ref="A1:M268"/>
    <mergeCell ref="N1:Q1"/>
    <mergeCell ref="N2:V4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08"/>
  <sheetViews>
    <sheetView tabSelected="1" workbookViewId="0"/>
  </sheetViews>
  <sheetFormatPr defaultColWidth="12.6640625" defaultRowHeight="15.75" customHeight="1"/>
  <cols>
    <col min="12" max="12" width="25.88671875" customWidth="1"/>
  </cols>
  <sheetData>
    <row r="1" spans="1:12" ht="15.75" customHeight="1">
      <c r="A1" s="19" t="s">
        <v>0</v>
      </c>
      <c r="B1" s="20" t="s">
        <v>1</v>
      </c>
      <c r="C1" s="20" t="s">
        <v>2</v>
      </c>
      <c r="D1" s="20" t="s">
        <v>3</v>
      </c>
      <c r="E1" s="20" t="s">
        <v>8</v>
      </c>
      <c r="F1" s="20" t="s">
        <v>9</v>
      </c>
      <c r="G1" s="20" t="s">
        <v>10</v>
      </c>
      <c r="H1" s="20" t="s">
        <v>11</v>
      </c>
      <c r="I1" s="20" t="s">
        <v>12</v>
      </c>
      <c r="J1" s="20" t="s">
        <v>606</v>
      </c>
      <c r="K1" s="20" t="s">
        <v>607</v>
      </c>
      <c r="L1" s="20" t="s">
        <v>608</v>
      </c>
    </row>
    <row r="2" spans="1:12" ht="15.75" customHeight="1">
      <c r="A2" s="21">
        <v>1</v>
      </c>
      <c r="B2" s="20" t="s">
        <v>13</v>
      </c>
      <c r="C2" s="20" t="s">
        <v>14</v>
      </c>
      <c r="D2" s="20" t="s">
        <v>15</v>
      </c>
      <c r="E2" s="21">
        <v>7499858640</v>
      </c>
      <c r="F2" s="19" t="s">
        <v>17</v>
      </c>
      <c r="G2" s="20" t="s">
        <v>609</v>
      </c>
      <c r="H2" s="21">
        <v>4.5</v>
      </c>
      <c r="I2" s="21">
        <v>399</v>
      </c>
      <c r="J2" s="20" t="s">
        <v>609</v>
      </c>
      <c r="K2" s="20" t="s">
        <v>610</v>
      </c>
      <c r="L2" s="21">
        <v>1</v>
      </c>
    </row>
    <row r="3" spans="1:12" ht="15.75" customHeight="1">
      <c r="A3" s="21">
        <v>2</v>
      </c>
      <c r="B3" s="20" t="s">
        <v>13</v>
      </c>
      <c r="C3" s="20" t="s">
        <v>14</v>
      </c>
      <c r="D3" s="20" t="s">
        <v>19</v>
      </c>
      <c r="E3" s="21">
        <v>8881200100</v>
      </c>
      <c r="F3" s="19" t="s">
        <v>20</v>
      </c>
      <c r="G3" s="20" t="s">
        <v>609</v>
      </c>
      <c r="H3" s="21">
        <v>4.8</v>
      </c>
      <c r="I3" s="21">
        <v>55</v>
      </c>
      <c r="J3" s="20" t="s">
        <v>609</v>
      </c>
      <c r="K3" s="20" t="s">
        <v>610</v>
      </c>
      <c r="L3" s="21">
        <v>0.8</v>
      </c>
    </row>
    <row r="4" spans="1:12" ht="15.75" customHeight="1">
      <c r="A4" s="21">
        <v>3</v>
      </c>
      <c r="B4" s="20" t="s">
        <v>13</v>
      </c>
      <c r="C4" s="20" t="s">
        <v>14</v>
      </c>
      <c r="D4" s="20" t="s">
        <v>21</v>
      </c>
      <c r="E4" s="21">
        <v>9919990738</v>
      </c>
      <c r="F4" s="19" t="s">
        <v>22</v>
      </c>
      <c r="G4" s="20" t="s">
        <v>609</v>
      </c>
      <c r="H4" s="21">
        <v>4.8</v>
      </c>
      <c r="I4" s="21">
        <v>329</v>
      </c>
      <c r="J4" s="20" t="s">
        <v>609</v>
      </c>
      <c r="K4" s="20" t="s">
        <v>610</v>
      </c>
      <c r="L4" s="21">
        <v>1</v>
      </c>
    </row>
    <row r="5" spans="1:12" ht="15.75" customHeight="1">
      <c r="A5" s="21">
        <v>4</v>
      </c>
      <c r="B5" s="20" t="s">
        <v>13</v>
      </c>
      <c r="C5" s="20" t="s">
        <v>14</v>
      </c>
      <c r="D5" s="20" t="s">
        <v>309</v>
      </c>
      <c r="E5" s="21">
        <v>9919736852</v>
      </c>
      <c r="F5" s="19" t="s">
        <v>24</v>
      </c>
      <c r="G5" s="20" t="s">
        <v>609</v>
      </c>
      <c r="H5" s="21">
        <v>4.5999999999999996</v>
      </c>
      <c r="I5" s="21">
        <v>221</v>
      </c>
      <c r="J5" s="20" t="s">
        <v>609</v>
      </c>
      <c r="K5" s="20" t="s">
        <v>610</v>
      </c>
      <c r="L5" s="21">
        <v>0.96</v>
      </c>
    </row>
    <row r="6" spans="1:12" ht="15.75" customHeight="1">
      <c r="A6" s="21">
        <v>20</v>
      </c>
      <c r="B6" s="20" t="s">
        <v>13</v>
      </c>
      <c r="C6" s="20" t="s">
        <v>14</v>
      </c>
      <c r="D6" s="20" t="s">
        <v>59</v>
      </c>
      <c r="E6" s="21">
        <v>9795874121</v>
      </c>
      <c r="F6" s="19" t="s">
        <v>60</v>
      </c>
      <c r="G6" s="20" t="s">
        <v>61</v>
      </c>
      <c r="H6" s="21">
        <v>4.4000000000000004</v>
      </c>
      <c r="I6" s="21">
        <v>26</v>
      </c>
      <c r="J6" s="20" t="s">
        <v>61</v>
      </c>
      <c r="K6" s="20" t="s">
        <v>610</v>
      </c>
      <c r="L6" s="21">
        <v>0.98</v>
      </c>
    </row>
    <row r="7" spans="1:12" ht="15.75" customHeight="1">
      <c r="A7" s="21">
        <v>21</v>
      </c>
      <c r="B7" s="20" t="s">
        <v>13</v>
      </c>
      <c r="C7" s="20" t="s">
        <v>14</v>
      </c>
      <c r="D7" s="20" t="s">
        <v>62</v>
      </c>
      <c r="E7" s="21">
        <v>9118147955</v>
      </c>
      <c r="F7" s="19" t="s">
        <v>63</v>
      </c>
      <c r="G7" s="20" t="s">
        <v>61</v>
      </c>
      <c r="H7" s="21">
        <v>4.8</v>
      </c>
      <c r="I7" s="21">
        <v>66</v>
      </c>
      <c r="J7" s="20" t="s">
        <v>61</v>
      </c>
      <c r="K7" s="20" t="s">
        <v>610</v>
      </c>
      <c r="L7" s="21">
        <v>0.96</v>
      </c>
    </row>
    <row r="8" spans="1:12" ht="15.75" customHeight="1">
      <c r="A8" s="21">
        <v>22</v>
      </c>
      <c r="B8" s="20" t="s">
        <v>13</v>
      </c>
      <c r="C8" s="20" t="s">
        <v>14</v>
      </c>
      <c r="D8" s="20" t="s">
        <v>64</v>
      </c>
      <c r="E8" s="21">
        <v>9451314111</v>
      </c>
      <c r="F8" s="19" t="s">
        <v>65</v>
      </c>
      <c r="G8" s="20" t="s">
        <v>61</v>
      </c>
      <c r="H8" s="21">
        <v>4.2</v>
      </c>
      <c r="I8" s="21">
        <v>31</v>
      </c>
      <c r="J8" s="20" t="s">
        <v>61</v>
      </c>
      <c r="K8" s="20" t="s">
        <v>610</v>
      </c>
      <c r="L8" s="21">
        <v>0.98</v>
      </c>
    </row>
    <row r="9" spans="1:12" ht="15.75" customHeight="1">
      <c r="A9" s="21">
        <v>23</v>
      </c>
      <c r="B9" s="20" t="s">
        <v>13</v>
      </c>
      <c r="C9" s="20" t="s">
        <v>14</v>
      </c>
      <c r="D9" s="20" t="s">
        <v>66</v>
      </c>
      <c r="E9" s="21">
        <v>9415425996</v>
      </c>
      <c r="F9" s="19" t="s">
        <v>67</v>
      </c>
      <c r="G9" s="20" t="s">
        <v>61</v>
      </c>
      <c r="H9" s="21">
        <v>4.4000000000000004</v>
      </c>
      <c r="I9" s="21">
        <v>171</v>
      </c>
      <c r="J9" s="20" t="s">
        <v>61</v>
      </c>
      <c r="K9" s="20" t="s">
        <v>610</v>
      </c>
      <c r="L9" s="21">
        <v>0.72</v>
      </c>
    </row>
    <row r="10" spans="1:12" ht="15.75" customHeight="1">
      <c r="A10" s="21">
        <v>24</v>
      </c>
      <c r="B10" s="20" t="s">
        <v>13</v>
      </c>
      <c r="C10" s="20" t="s">
        <v>14</v>
      </c>
      <c r="D10" s="20" t="s">
        <v>68</v>
      </c>
      <c r="E10" s="21">
        <v>7398951960</v>
      </c>
      <c r="F10" s="19" t="s">
        <v>69</v>
      </c>
      <c r="G10" s="20" t="s">
        <v>61</v>
      </c>
      <c r="H10" s="21">
        <v>4.9000000000000004</v>
      </c>
      <c r="I10" s="21">
        <v>85</v>
      </c>
      <c r="J10" s="20" t="s">
        <v>61</v>
      </c>
      <c r="K10" s="20" t="s">
        <v>610</v>
      </c>
      <c r="L10" s="21">
        <v>0.98</v>
      </c>
    </row>
    <row r="11" spans="1:12" ht="15.75" customHeight="1">
      <c r="A11" s="21">
        <v>25</v>
      </c>
      <c r="B11" s="20" t="s">
        <v>13</v>
      </c>
      <c r="C11" s="20" t="s">
        <v>14</v>
      </c>
      <c r="D11" s="20" t="s">
        <v>70</v>
      </c>
      <c r="E11" s="21">
        <v>9839108070</v>
      </c>
      <c r="F11" s="19" t="s">
        <v>71</v>
      </c>
      <c r="G11" s="20" t="s">
        <v>61</v>
      </c>
      <c r="H11" s="21">
        <v>4.5</v>
      </c>
      <c r="I11" s="21">
        <v>71</v>
      </c>
      <c r="J11" s="20" t="s">
        <v>61</v>
      </c>
      <c r="K11" s="20" t="s">
        <v>610</v>
      </c>
      <c r="L11" s="21">
        <v>1</v>
      </c>
    </row>
    <row r="12" spans="1:12" ht="15.75" customHeight="1">
      <c r="A12" s="21">
        <v>26</v>
      </c>
      <c r="B12" s="20" t="s">
        <v>13</v>
      </c>
      <c r="C12" s="20" t="s">
        <v>14</v>
      </c>
      <c r="D12" s="20" t="s">
        <v>72</v>
      </c>
      <c r="E12" s="21">
        <v>9389812289</v>
      </c>
      <c r="F12" s="19" t="s">
        <v>73</v>
      </c>
      <c r="G12" s="20" t="s">
        <v>61</v>
      </c>
      <c r="H12" s="21">
        <v>3.8</v>
      </c>
      <c r="I12" s="21">
        <v>54</v>
      </c>
      <c r="J12" s="20" t="s">
        <v>61</v>
      </c>
      <c r="K12" s="20" t="s">
        <v>610</v>
      </c>
      <c r="L12" s="21">
        <v>0.98</v>
      </c>
    </row>
    <row r="13" spans="1:12" ht="15.75" customHeight="1">
      <c r="A13" s="21">
        <v>27</v>
      </c>
      <c r="B13" s="20" t="s">
        <v>13</v>
      </c>
      <c r="C13" s="20" t="s">
        <v>14</v>
      </c>
      <c r="D13" s="20" t="s">
        <v>74</v>
      </c>
      <c r="E13" s="21">
        <v>7408214444</v>
      </c>
      <c r="F13" s="19" t="s">
        <v>75</v>
      </c>
      <c r="G13" s="20" t="s">
        <v>61</v>
      </c>
      <c r="H13" s="21">
        <v>4.0999999999999996</v>
      </c>
      <c r="I13" s="21">
        <v>54</v>
      </c>
      <c r="J13" s="20" t="s">
        <v>61</v>
      </c>
      <c r="K13" s="20" t="s">
        <v>610</v>
      </c>
      <c r="L13" s="21">
        <v>0.94</v>
      </c>
    </row>
    <row r="14" spans="1:12" ht="15.75" customHeight="1">
      <c r="A14" s="21">
        <v>28</v>
      </c>
      <c r="B14" s="20" t="s">
        <v>13</v>
      </c>
      <c r="C14" s="20" t="s">
        <v>14</v>
      </c>
      <c r="D14" s="20" t="s">
        <v>76</v>
      </c>
      <c r="E14" s="21">
        <v>8419075786</v>
      </c>
      <c r="F14" s="19" t="s">
        <v>77</v>
      </c>
      <c r="G14" s="20" t="s">
        <v>61</v>
      </c>
      <c r="H14" s="21">
        <v>4.5</v>
      </c>
      <c r="I14" s="21">
        <v>24</v>
      </c>
      <c r="J14" s="20" t="s">
        <v>61</v>
      </c>
      <c r="K14" s="20" t="s">
        <v>610</v>
      </c>
      <c r="L14" s="21">
        <v>1</v>
      </c>
    </row>
    <row r="15" spans="1:12" ht="15.75" customHeight="1">
      <c r="A15" s="21">
        <v>29</v>
      </c>
      <c r="B15" s="20" t="s">
        <v>13</v>
      </c>
      <c r="C15" s="20" t="s">
        <v>14</v>
      </c>
      <c r="D15" s="20" t="s">
        <v>78</v>
      </c>
      <c r="E15" s="21">
        <v>5224068374</v>
      </c>
      <c r="F15" s="19" t="s">
        <v>79</v>
      </c>
      <c r="G15" s="20" t="s">
        <v>61</v>
      </c>
      <c r="H15" s="21">
        <v>4.5999999999999996</v>
      </c>
      <c r="I15" s="21">
        <v>33</v>
      </c>
      <c r="J15" s="20" t="s">
        <v>61</v>
      </c>
      <c r="K15" s="20" t="s">
        <v>610</v>
      </c>
      <c r="L15" s="21">
        <v>1</v>
      </c>
    </row>
    <row r="16" spans="1:12" ht="15.75" customHeight="1">
      <c r="A16" s="21">
        <v>30</v>
      </c>
      <c r="B16" s="20" t="s">
        <v>13</v>
      </c>
      <c r="C16" s="20" t="s">
        <v>14</v>
      </c>
      <c r="D16" s="20" t="s">
        <v>80</v>
      </c>
      <c r="E16" s="21">
        <v>9984232499</v>
      </c>
      <c r="F16" s="19" t="s">
        <v>81</v>
      </c>
      <c r="G16" s="20" t="s">
        <v>61</v>
      </c>
      <c r="H16" s="21">
        <v>5</v>
      </c>
      <c r="I16" s="21">
        <v>4</v>
      </c>
      <c r="J16" s="20" t="s">
        <v>61</v>
      </c>
      <c r="K16" s="20" t="s">
        <v>610</v>
      </c>
      <c r="L16" s="21">
        <v>1</v>
      </c>
    </row>
    <row r="17" spans="1:12" ht="15.75" customHeight="1">
      <c r="A17" s="21">
        <v>31</v>
      </c>
      <c r="B17" s="20" t="s">
        <v>13</v>
      </c>
      <c r="C17" s="20" t="s">
        <v>14</v>
      </c>
      <c r="D17" s="20" t="s">
        <v>82</v>
      </c>
      <c r="E17" s="21">
        <v>9415086495</v>
      </c>
      <c r="F17" s="19" t="s">
        <v>83</v>
      </c>
      <c r="G17" s="20" t="s">
        <v>61</v>
      </c>
      <c r="H17" s="21">
        <v>4.8</v>
      </c>
      <c r="I17" s="21">
        <v>21</v>
      </c>
      <c r="J17" s="20" t="s">
        <v>61</v>
      </c>
      <c r="K17" s="20" t="s">
        <v>610</v>
      </c>
      <c r="L17" s="21">
        <v>1</v>
      </c>
    </row>
    <row r="18" spans="1:12" ht="15.75" customHeight="1">
      <c r="A18" s="21">
        <v>32</v>
      </c>
      <c r="B18" s="20" t="s">
        <v>13</v>
      </c>
      <c r="C18" s="20" t="s">
        <v>14</v>
      </c>
      <c r="D18" s="20" t="s">
        <v>84</v>
      </c>
      <c r="E18" s="21">
        <v>6386395701</v>
      </c>
      <c r="F18" s="19" t="s">
        <v>85</v>
      </c>
      <c r="G18" s="20" t="s">
        <v>61</v>
      </c>
      <c r="H18" s="21">
        <v>5</v>
      </c>
      <c r="I18" s="21">
        <v>23</v>
      </c>
      <c r="J18" s="20" t="s">
        <v>61</v>
      </c>
      <c r="K18" s="20" t="s">
        <v>610</v>
      </c>
      <c r="L18" s="21">
        <v>0.99</v>
      </c>
    </row>
    <row r="19" spans="1:12" ht="15.75" customHeight="1">
      <c r="A19" s="21">
        <v>33</v>
      </c>
      <c r="B19" s="20" t="s">
        <v>13</v>
      </c>
      <c r="C19" s="20" t="s">
        <v>14</v>
      </c>
      <c r="D19" s="20" t="s">
        <v>86</v>
      </c>
      <c r="E19" s="21">
        <v>9151778888</v>
      </c>
      <c r="F19" s="19" t="s">
        <v>87</v>
      </c>
      <c r="G19" s="20" t="s">
        <v>61</v>
      </c>
      <c r="H19" s="21">
        <v>3.9</v>
      </c>
      <c r="I19" s="21">
        <v>83</v>
      </c>
      <c r="J19" s="20" t="s">
        <v>61</v>
      </c>
      <c r="K19" s="20" t="s">
        <v>610</v>
      </c>
      <c r="L19" s="21">
        <v>0.83</v>
      </c>
    </row>
    <row r="20" spans="1:12" ht="15.75" customHeight="1">
      <c r="A20" s="21">
        <v>34</v>
      </c>
      <c r="B20" s="20" t="s">
        <v>13</v>
      </c>
      <c r="C20" s="20" t="s">
        <v>14</v>
      </c>
      <c r="D20" s="20" t="s">
        <v>88</v>
      </c>
      <c r="E20" s="21">
        <v>9918858222</v>
      </c>
      <c r="F20" s="19" t="s">
        <v>89</v>
      </c>
      <c r="G20" s="20" t="s">
        <v>61</v>
      </c>
      <c r="H20" s="21">
        <v>3.8</v>
      </c>
      <c r="I20" s="21">
        <v>116</v>
      </c>
      <c r="J20" s="20" t="s">
        <v>61</v>
      </c>
      <c r="K20" s="20" t="s">
        <v>610</v>
      </c>
      <c r="L20" s="21">
        <v>0.84</v>
      </c>
    </row>
    <row r="21" spans="1:12" ht="15.75" customHeight="1">
      <c r="A21" s="21">
        <v>35</v>
      </c>
      <c r="B21" s="20" t="s">
        <v>13</v>
      </c>
      <c r="C21" s="20" t="s">
        <v>14</v>
      </c>
      <c r="D21" s="20" t="s">
        <v>90</v>
      </c>
      <c r="E21" s="21">
        <v>5224043245</v>
      </c>
      <c r="F21" s="19" t="s">
        <v>91</v>
      </c>
      <c r="G21" s="20" t="s">
        <v>61</v>
      </c>
      <c r="H21" s="21">
        <v>4.4000000000000004</v>
      </c>
      <c r="I21" s="21">
        <v>9</v>
      </c>
      <c r="J21" s="20" t="s">
        <v>61</v>
      </c>
      <c r="K21" s="20" t="s">
        <v>610</v>
      </c>
      <c r="L21" s="21">
        <v>0.51</v>
      </c>
    </row>
    <row r="22" spans="1:12" ht="15.75" customHeight="1">
      <c r="A22" s="21">
        <v>36</v>
      </c>
      <c r="B22" s="20" t="s">
        <v>13</v>
      </c>
      <c r="C22" s="20" t="s">
        <v>14</v>
      </c>
      <c r="D22" s="20" t="s">
        <v>92</v>
      </c>
      <c r="E22" s="21">
        <v>9161633499</v>
      </c>
      <c r="F22" s="19" t="s">
        <v>93</v>
      </c>
      <c r="G22" s="20" t="s">
        <v>61</v>
      </c>
      <c r="H22" s="21">
        <v>4.5</v>
      </c>
      <c r="I22" s="21">
        <v>11</v>
      </c>
      <c r="J22" s="20" t="s">
        <v>61</v>
      </c>
      <c r="K22" s="20" t="s">
        <v>610</v>
      </c>
      <c r="L22" s="21">
        <v>0.99</v>
      </c>
    </row>
    <row r="23" spans="1:12" ht="15.75" customHeight="1">
      <c r="A23" s="21">
        <v>37</v>
      </c>
      <c r="B23" s="20" t="s">
        <v>13</v>
      </c>
      <c r="C23" s="20" t="s">
        <v>14</v>
      </c>
      <c r="D23" s="20" t="s">
        <v>94</v>
      </c>
      <c r="E23" s="21">
        <v>7270075920</v>
      </c>
      <c r="F23" s="19" t="s">
        <v>95</v>
      </c>
      <c r="G23" s="20" t="s">
        <v>61</v>
      </c>
      <c r="H23" s="21">
        <v>4.9000000000000004</v>
      </c>
      <c r="I23" s="21">
        <v>79</v>
      </c>
      <c r="J23" s="20" t="s">
        <v>61</v>
      </c>
      <c r="K23" s="20" t="s">
        <v>610</v>
      </c>
      <c r="L23" s="21">
        <v>0.93</v>
      </c>
    </row>
    <row r="24" spans="1:12" ht="15.75" customHeight="1">
      <c r="A24" s="21">
        <v>38</v>
      </c>
      <c r="B24" s="20" t="s">
        <v>13</v>
      </c>
      <c r="C24" s="20" t="s">
        <v>14</v>
      </c>
      <c r="D24" s="20" t="s">
        <v>96</v>
      </c>
      <c r="E24" s="21">
        <v>5222638266</v>
      </c>
      <c r="F24" s="19" t="s">
        <v>97</v>
      </c>
      <c r="G24" s="20" t="s">
        <v>61</v>
      </c>
      <c r="H24" s="21">
        <v>4.5</v>
      </c>
      <c r="I24" s="21">
        <v>15</v>
      </c>
      <c r="J24" s="20" t="s">
        <v>61</v>
      </c>
      <c r="K24" s="20" t="s">
        <v>610</v>
      </c>
      <c r="L24" s="21">
        <v>1</v>
      </c>
    </row>
    <row r="25" spans="1:12" ht="15.75" customHeight="1">
      <c r="A25" s="21">
        <v>39</v>
      </c>
      <c r="B25" s="20" t="s">
        <v>13</v>
      </c>
      <c r="C25" s="20" t="s">
        <v>14</v>
      </c>
      <c r="D25" s="20" t="s">
        <v>98</v>
      </c>
      <c r="E25" s="21">
        <v>9936171731</v>
      </c>
      <c r="F25" s="19" t="s">
        <v>99</v>
      </c>
      <c r="G25" s="20" t="s">
        <v>61</v>
      </c>
      <c r="H25" s="21">
        <v>4.8</v>
      </c>
      <c r="I25" s="21">
        <v>91</v>
      </c>
      <c r="J25" s="20" t="s">
        <v>61</v>
      </c>
      <c r="K25" s="20" t="s">
        <v>610</v>
      </c>
      <c r="L25" s="21">
        <v>0.98</v>
      </c>
    </row>
    <row r="26" spans="1:12" ht="15.75" customHeight="1">
      <c r="A26" s="21">
        <v>55</v>
      </c>
      <c r="B26" s="20" t="s">
        <v>13</v>
      </c>
      <c r="C26" s="20" t="s">
        <v>14</v>
      </c>
      <c r="D26" s="20" t="s">
        <v>131</v>
      </c>
      <c r="E26" s="21">
        <v>7347867373</v>
      </c>
      <c r="F26" s="19" t="s">
        <v>132</v>
      </c>
      <c r="G26" s="20" t="s">
        <v>61</v>
      </c>
      <c r="H26" s="21">
        <v>3.3</v>
      </c>
      <c r="I26" s="21">
        <v>24</v>
      </c>
      <c r="J26" s="20" t="s">
        <v>61</v>
      </c>
      <c r="K26" s="20" t="s">
        <v>610</v>
      </c>
      <c r="L26" s="21">
        <v>1</v>
      </c>
    </row>
    <row r="27" spans="1:12" ht="14.4">
      <c r="A27" s="21">
        <v>56</v>
      </c>
      <c r="B27" s="20" t="s">
        <v>13</v>
      </c>
      <c r="C27" s="20" t="s">
        <v>14</v>
      </c>
      <c r="D27" s="20" t="s">
        <v>133</v>
      </c>
      <c r="E27" s="21">
        <v>7081285540</v>
      </c>
      <c r="F27" s="19" t="s">
        <v>134</v>
      </c>
      <c r="G27" s="20" t="s">
        <v>61</v>
      </c>
      <c r="H27" s="21">
        <v>3.8</v>
      </c>
      <c r="I27" s="21">
        <v>53</v>
      </c>
      <c r="J27" s="20" t="s">
        <v>61</v>
      </c>
      <c r="K27" s="20" t="s">
        <v>610</v>
      </c>
      <c r="L27" s="21">
        <v>0.99</v>
      </c>
    </row>
    <row r="28" spans="1:12" ht="14.4">
      <c r="A28" s="21">
        <v>57</v>
      </c>
      <c r="B28" s="20" t="s">
        <v>13</v>
      </c>
      <c r="C28" s="20" t="s">
        <v>14</v>
      </c>
      <c r="D28" s="20" t="s">
        <v>135</v>
      </c>
      <c r="E28" s="21">
        <v>9936778598</v>
      </c>
      <c r="F28" s="19" t="s">
        <v>136</v>
      </c>
      <c r="G28" s="20" t="s">
        <v>61</v>
      </c>
      <c r="H28" s="21">
        <v>4.5999999999999996</v>
      </c>
      <c r="I28" s="21">
        <v>29</v>
      </c>
      <c r="J28" s="20" t="s">
        <v>61</v>
      </c>
      <c r="K28" s="20" t="s">
        <v>610</v>
      </c>
      <c r="L28" s="21">
        <v>1</v>
      </c>
    </row>
    <row r="29" spans="1:12" ht="14.4">
      <c r="A29" s="21">
        <v>58</v>
      </c>
      <c r="B29" s="20" t="s">
        <v>13</v>
      </c>
      <c r="C29" s="20" t="s">
        <v>14</v>
      </c>
      <c r="D29" s="20" t="s">
        <v>137</v>
      </c>
      <c r="E29" s="21">
        <v>9839628426</v>
      </c>
      <c r="F29" s="19" t="s">
        <v>138</v>
      </c>
      <c r="G29" s="20" t="s">
        <v>61</v>
      </c>
      <c r="H29" s="21">
        <v>4.0999999999999996</v>
      </c>
      <c r="I29" s="21">
        <v>7</v>
      </c>
      <c r="J29" s="20" t="s">
        <v>61</v>
      </c>
      <c r="K29" s="20" t="s">
        <v>610</v>
      </c>
      <c r="L29" s="21">
        <v>0.99</v>
      </c>
    </row>
    <row r="30" spans="1:12" ht="14.4">
      <c r="A30" s="21">
        <v>59</v>
      </c>
      <c r="B30" s="20" t="s">
        <v>13</v>
      </c>
      <c r="C30" s="20" t="s">
        <v>14</v>
      </c>
      <c r="D30" s="20" t="s">
        <v>139</v>
      </c>
      <c r="E30" s="21">
        <v>8934029404</v>
      </c>
      <c r="F30" s="19" t="s">
        <v>140</v>
      </c>
      <c r="G30" s="20" t="s">
        <v>61</v>
      </c>
      <c r="H30" s="21">
        <v>4</v>
      </c>
      <c r="I30" s="21">
        <v>6</v>
      </c>
      <c r="J30" s="20" t="s">
        <v>61</v>
      </c>
      <c r="K30" s="20" t="s">
        <v>610</v>
      </c>
      <c r="L30" s="21">
        <v>1</v>
      </c>
    </row>
    <row r="31" spans="1:12" ht="14.4">
      <c r="A31" s="21">
        <v>60</v>
      </c>
      <c r="B31" s="20" t="s">
        <v>13</v>
      </c>
      <c r="C31" s="20" t="s">
        <v>14</v>
      </c>
      <c r="D31" s="20" t="s">
        <v>141</v>
      </c>
      <c r="E31" s="21">
        <v>8299296398</v>
      </c>
      <c r="F31" s="19" t="s">
        <v>142</v>
      </c>
      <c r="G31" s="20" t="s">
        <v>61</v>
      </c>
      <c r="H31" s="21">
        <v>4.2</v>
      </c>
      <c r="I31" s="21">
        <v>32</v>
      </c>
      <c r="J31" s="20" t="s">
        <v>61</v>
      </c>
      <c r="K31" s="20" t="s">
        <v>610</v>
      </c>
      <c r="L31" s="21">
        <v>0.98</v>
      </c>
    </row>
    <row r="32" spans="1:12" ht="14.4">
      <c r="A32" s="21">
        <v>61</v>
      </c>
      <c r="B32" s="20" t="s">
        <v>13</v>
      </c>
      <c r="C32" s="20" t="s">
        <v>14</v>
      </c>
      <c r="D32" s="20" t="s">
        <v>143</v>
      </c>
      <c r="E32" s="21">
        <v>6392701509</v>
      </c>
      <c r="F32" s="19" t="s">
        <v>144</v>
      </c>
      <c r="G32" s="20" t="s">
        <v>61</v>
      </c>
      <c r="H32" s="21">
        <v>4.9000000000000004</v>
      </c>
      <c r="I32" s="21">
        <v>181</v>
      </c>
      <c r="J32" s="20" t="s">
        <v>61</v>
      </c>
      <c r="K32" s="20" t="s">
        <v>610</v>
      </c>
      <c r="L32" s="21">
        <v>0.93</v>
      </c>
    </row>
    <row r="33" spans="1:12" ht="14.4">
      <c r="A33" s="21">
        <v>62</v>
      </c>
      <c r="B33" s="20" t="s">
        <v>13</v>
      </c>
      <c r="C33" s="20" t="s">
        <v>14</v>
      </c>
      <c r="D33" s="20" t="s">
        <v>145</v>
      </c>
      <c r="E33" s="21">
        <v>9984417630</v>
      </c>
      <c r="F33" s="19" t="s">
        <v>146</v>
      </c>
      <c r="G33" s="20" t="s">
        <v>61</v>
      </c>
      <c r="H33" s="21">
        <v>5</v>
      </c>
      <c r="I33" s="21">
        <v>2</v>
      </c>
      <c r="J33" s="20" t="s">
        <v>61</v>
      </c>
      <c r="K33" s="20" t="s">
        <v>610</v>
      </c>
      <c r="L33" s="21">
        <v>1</v>
      </c>
    </row>
    <row r="34" spans="1:12" ht="14.4">
      <c r="A34" s="21">
        <v>63</v>
      </c>
      <c r="B34" s="20" t="s">
        <v>13</v>
      </c>
      <c r="C34" s="20" t="s">
        <v>14</v>
      </c>
      <c r="D34" s="20" t="s">
        <v>147</v>
      </c>
      <c r="E34" s="21">
        <v>9554997653</v>
      </c>
      <c r="F34" s="19" t="s">
        <v>148</v>
      </c>
      <c r="G34" s="20" t="s">
        <v>61</v>
      </c>
      <c r="H34" s="21">
        <v>4.9000000000000004</v>
      </c>
      <c r="I34" s="21">
        <v>63</v>
      </c>
      <c r="J34" s="20" t="s">
        <v>61</v>
      </c>
      <c r="K34" s="20" t="s">
        <v>610</v>
      </c>
      <c r="L34" s="21">
        <v>0.85</v>
      </c>
    </row>
    <row r="35" spans="1:12" ht="14.4">
      <c r="A35" s="21">
        <v>64</v>
      </c>
      <c r="B35" s="20" t="s">
        <v>13</v>
      </c>
      <c r="C35" s="20" t="s">
        <v>14</v>
      </c>
      <c r="D35" s="20" t="s">
        <v>149</v>
      </c>
      <c r="E35" s="21">
        <v>9198595255</v>
      </c>
      <c r="F35" s="19" t="s">
        <v>150</v>
      </c>
      <c r="G35" s="20" t="s">
        <v>61</v>
      </c>
      <c r="H35" s="21">
        <v>4.2</v>
      </c>
      <c r="I35" s="21">
        <v>179</v>
      </c>
      <c r="J35" s="20" t="s">
        <v>61</v>
      </c>
      <c r="K35" s="20" t="s">
        <v>610</v>
      </c>
      <c r="L35" s="21">
        <v>0.94</v>
      </c>
    </row>
    <row r="36" spans="1:12" ht="14.4">
      <c r="A36" s="21">
        <v>65</v>
      </c>
      <c r="B36" s="20" t="s">
        <v>13</v>
      </c>
      <c r="C36" s="20" t="s">
        <v>14</v>
      </c>
      <c r="D36" s="20" t="s">
        <v>151</v>
      </c>
      <c r="E36" s="21">
        <v>9838179666</v>
      </c>
      <c r="F36" s="19" t="s">
        <v>152</v>
      </c>
      <c r="G36" s="20" t="s">
        <v>61</v>
      </c>
      <c r="H36" s="21">
        <v>5</v>
      </c>
      <c r="I36" s="21">
        <v>6</v>
      </c>
      <c r="J36" s="20" t="s">
        <v>61</v>
      </c>
      <c r="K36" s="20" t="s">
        <v>610</v>
      </c>
      <c r="L36" s="21">
        <v>1</v>
      </c>
    </row>
    <row r="37" spans="1:12" ht="14.4">
      <c r="A37" s="21">
        <v>66</v>
      </c>
      <c r="B37" s="20" t="s">
        <v>13</v>
      </c>
      <c r="C37" s="20" t="s">
        <v>14</v>
      </c>
      <c r="D37" s="20" t="s">
        <v>153</v>
      </c>
      <c r="E37" s="21">
        <v>9307055555</v>
      </c>
      <c r="F37" s="19" t="s">
        <v>154</v>
      </c>
      <c r="G37" s="20" t="s">
        <v>61</v>
      </c>
      <c r="H37" s="21">
        <v>3.7</v>
      </c>
      <c r="I37" s="21">
        <v>6</v>
      </c>
      <c r="J37" s="20" t="s">
        <v>61</v>
      </c>
      <c r="K37" s="20" t="s">
        <v>610</v>
      </c>
      <c r="L37" s="21">
        <v>1</v>
      </c>
    </row>
    <row r="38" spans="1:12" ht="14.4">
      <c r="A38" s="21">
        <v>67</v>
      </c>
      <c r="B38" s="20" t="s">
        <v>13</v>
      </c>
      <c r="C38" s="20" t="s">
        <v>14</v>
      </c>
      <c r="D38" s="20" t="s">
        <v>155</v>
      </c>
      <c r="E38" s="21">
        <v>5224236566</v>
      </c>
      <c r="F38" s="19" t="s">
        <v>156</v>
      </c>
      <c r="G38" s="20" t="s">
        <v>61</v>
      </c>
      <c r="H38" s="21">
        <v>4.5999999999999996</v>
      </c>
      <c r="I38" s="21">
        <v>11</v>
      </c>
      <c r="J38" s="20" t="s">
        <v>61</v>
      </c>
      <c r="K38" s="20" t="s">
        <v>610</v>
      </c>
      <c r="L38" s="21">
        <v>0.99</v>
      </c>
    </row>
    <row r="39" spans="1:12" ht="14.4">
      <c r="A39" s="21">
        <v>68</v>
      </c>
      <c r="B39" s="20" t="s">
        <v>13</v>
      </c>
      <c r="C39" s="20" t="s">
        <v>14</v>
      </c>
      <c r="D39" s="20" t="s">
        <v>157</v>
      </c>
      <c r="E39" s="21">
        <v>8707605386</v>
      </c>
      <c r="F39" s="19" t="s">
        <v>158</v>
      </c>
      <c r="G39" s="20" t="s">
        <v>61</v>
      </c>
      <c r="H39" s="21">
        <v>3.6</v>
      </c>
      <c r="I39" s="21">
        <v>5</v>
      </c>
      <c r="J39" s="20" t="s">
        <v>61</v>
      </c>
      <c r="K39" s="20" t="s">
        <v>610</v>
      </c>
      <c r="L39" s="21">
        <v>0.99</v>
      </c>
    </row>
    <row r="40" spans="1:12" ht="14.4">
      <c r="A40" s="21">
        <v>69</v>
      </c>
      <c r="B40" s="20" t="s">
        <v>13</v>
      </c>
      <c r="C40" s="20" t="s">
        <v>14</v>
      </c>
      <c r="D40" s="20" t="s">
        <v>159</v>
      </c>
      <c r="E40" s="21">
        <v>9519727481</v>
      </c>
      <c r="F40" s="19" t="s">
        <v>160</v>
      </c>
      <c r="G40" s="20" t="s">
        <v>61</v>
      </c>
      <c r="H40" s="21">
        <v>5</v>
      </c>
      <c r="I40" s="21">
        <v>137</v>
      </c>
      <c r="J40" s="20" t="s">
        <v>61</v>
      </c>
      <c r="K40" s="20" t="s">
        <v>610</v>
      </c>
      <c r="L40" s="21">
        <v>0.99</v>
      </c>
    </row>
    <row r="41" spans="1:12" ht="14.4">
      <c r="A41" s="21">
        <v>75</v>
      </c>
      <c r="B41" s="20" t="s">
        <v>13</v>
      </c>
      <c r="C41" s="20" t="s">
        <v>14</v>
      </c>
      <c r="D41" s="20" t="s">
        <v>171</v>
      </c>
      <c r="E41" s="21">
        <v>9919524137</v>
      </c>
      <c r="F41" s="19" t="s">
        <v>172</v>
      </c>
      <c r="G41" s="20" t="s">
        <v>61</v>
      </c>
      <c r="H41" s="21">
        <v>3.8</v>
      </c>
      <c r="I41" s="21">
        <v>28</v>
      </c>
      <c r="J41" s="20" t="s">
        <v>61</v>
      </c>
      <c r="K41" s="20" t="s">
        <v>610</v>
      </c>
      <c r="L41" s="21">
        <v>1</v>
      </c>
    </row>
    <row r="42" spans="1:12" ht="14.4">
      <c r="A42" s="21">
        <v>76</v>
      </c>
      <c r="B42" s="20" t="s">
        <v>13</v>
      </c>
      <c r="C42" s="20" t="s">
        <v>14</v>
      </c>
      <c r="D42" s="20" t="s">
        <v>173</v>
      </c>
      <c r="E42" s="21">
        <v>9415104223</v>
      </c>
      <c r="F42" s="19" t="s">
        <v>174</v>
      </c>
      <c r="G42" s="20" t="s">
        <v>61</v>
      </c>
      <c r="H42" s="21">
        <v>4.4000000000000004</v>
      </c>
      <c r="I42" s="21">
        <v>12</v>
      </c>
      <c r="J42" s="20" t="s">
        <v>61</v>
      </c>
      <c r="K42" s="20" t="s">
        <v>610</v>
      </c>
      <c r="L42" s="21">
        <v>0.8</v>
      </c>
    </row>
    <row r="43" spans="1:12" ht="14.4">
      <c r="A43" s="21">
        <v>77</v>
      </c>
      <c r="B43" s="20" t="s">
        <v>13</v>
      </c>
      <c r="C43" s="20" t="s">
        <v>14</v>
      </c>
      <c r="D43" s="20" t="s">
        <v>175</v>
      </c>
      <c r="E43" s="21">
        <v>8081758681</v>
      </c>
      <c r="F43" s="19" t="s">
        <v>176</v>
      </c>
      <c r="G43" s="20" t="s">
        <v>61</v>
      </c>
      <c r="H43" s="21">
        <v>4.3</v>
      </c>
      <c r="I43" s="21">
        <v>14</v>
      </c>
      <c r="J43" s="20" t="s">
        <v>61</v>
      </c>
      <c r="K43" s="20" t="s">
        <v>610</v>
      </c>
      <c r="L43" s="21">
        <v>0.65</v>
      </c>
    </row>
    <row r="44" spans="1:12" ht="14.4">
      <c r="A44" s="21">
        <v>78</v>
      </c>
      <c r="B44" s="20" t="s">
        <v>13</v>
      </c>
      <c r="C44" s="20" t="s">
        <v>14</v>
      </c>
      <c r="D44" s="20" t="s">
        <v>177</v>
      </c>
      <c r="E44" s="21">
        <v>9721050077</v>
      </c>
      <c r="F44" s="19" t="s">
        <v>178</v>
      </c>
      <c r="G44" s="20" t="s">
        <v>61</v>
      </c>
      <c r="H44" s="21">
        <v>4.3</v>
      </c>
      <c r="I44" s="21">
        <v>285</v>
      </c>
      <c r="J44" s="20" t="s">
        <v>61</v>
      </c>
      <c r="K44" s="20" t="s">
        <v>610</v>
      </c>
      <c r="L44" s="21">
        <v>0.84</v>
      </c>
    </row>
    <row r="45" spans="1:12" ht="14.4">
      <c r="A45" s="21">
        <v>79</v>
      </c>
      <c r="B45" s="20" t="s">
        <v>13</v>
      </c>
      <c r="C45" s="20" t="s">
        <v>14</v>
      </c>
      <c r="D45" s="20" t="s">
        <v>179</v>
      </c>
      <c r="E45" s="21">
        <v>9451197467</v>
      </c>
      <c r="F45" s="19" t="s">
        <v>180</v>
      </c>
      <c r="G45" s="20" t="s">
        <v>56</v>
      </c>
      <c r="H45" s="21">
        <v>3.8</v>
      </c>
      <c r="I45" s="21">
        <v>311</v>
      </c>
      <c r="J45" s="20" t="s">
        <v>56</v>
      </c>
      <c r="K45" s="20" t="s">
        <v>610</v>
      </c>
      <c r="L45" s="21">
        <v>0.99</v>
      </c>
    </row>
    <row r="46" spans="1:12" ht="14.4">
      <c r="A46" s="21">
        <v>80</v>
      </c>
      <c r="B46" s="20" t="s">
        <v>13</v>
      </c>
      <c r="C46" s="20" t="s">
        <v>14</v>
      </c>
      <c r="D46" s="20" t="s">
        <v>181</v>
      </c>
      <c r="E46" s="21">
        <v>9044666666</v>
      </c>
      <c r="F46" s="19" t="s">
        <v>182</v>
      </c>
      <c r="G46" s="20" t="s">
        <v>56</v>
      </c>
      <c r="H46" s="21">
        <v>4.0999999999999996</v>
      </c>
      <c r="I46" s="21">
        <v>500</v>
      </c>
      <c r="J46" s="20" t="s">
        <v>56</v>
      </c>
      <c r="K46" s="20" t="s">
        <v>610</v>
      </c>
      <c r="L46" s="21">
        <v>0.65</v>
      </c>
    </row>
    <row r="47" spans="1:12" ht="14.4">
      <c r="A47" s="21">
        <v>81</v>
      </c>
      <c r="B47" s="20" t="s">
        <v>13</v>
      </c>
      <c r="C47" s="20" t="s">
        <v>14</v>
      </c>
      <c r="D47" s="20" t="s">
        <v>183</v>
      </c>
      <c r="E47" s="21">
        <v>6394064977</v>
      </c>
      <c r="F47" s="19" t="s">
        <v>184</v>
      </c>
      <c r="G47" s="20" t="s">
        <v>56</v>
      </c>
      <c r="H47" s="21">
        <v>4.2</v>
      </c>
      <c r="I47" s="21">
        <v>109</v>
      </c>
      <c r="J47" s="20" t="s">
        <v>56</v>
      </c>
      <c r="K47" s="20" t="s">
        <v>610</v>
      </c>
      <c r="L47" s="21">
        <v>0.98</v>
      </c>
    </row>
    <row r="48" spans="1:12" ht="14.4">
      <c r="A48" s="21">
        <v>82</v>
      </c>
      <c r="B48" s="20" t="s">
        <v>13</v>
      </c>
      <c r="C48" s="20" t="s">
        <v>14</v>
      </c>
      <c r="D48" s="20" t="s">
        <v>185</v>
      </c>
      <c r="E48" s="21">
        <v>8318681494</v>
      </c>
      <c r="F48" s="19" t="s">
        <v>186</v>
      </c>
      <c r="G48" s="20" t="s">
        <v>56</v>
      </c>
      <c r="H48" s="21">
        <v>4.5999999999999996</v>
      </c>
      <c r="I48" s="21">
        <v>10</v>
      </c>
      <c r="J48" s="20" t="s">
        <v>56</v>
      </c>
      <c r="K48" s="20" t="s">
        <v>610</v>
      </c>
      <c r="L48" s="21">
        <v>0.98</v>
      </c>
    </row>
    <row r="49" spans="1:12" ht="14.4">
      <c r="A49" s="21">
        <v>83</v>
      </c>
      <c r="B49" s="20" t="s">
        <v>13</v>
      </c>
      <c r="C49" s="20" t="s">
        <v>14</v>
      </c>
      <c r="D49" s="20" t="s">
        <v>187</v>
      </c>
      <c r="E49" s="21">
        <v>9807255215</v>
      </c>
      <c r="F49" s="19" t="s">
        <v>188</v>
      </c>
      <c r="G49" s="20" t="s">
        <v>56</v>
      </c>
      <c r="H49" s="21">
        <v>4.0999999999999996</v>
      </c>
      <c r="I49" s="21">
        <v>490</v>
      </c>
      <c r="J49" s="20" t="s">
        <v>56</v>
      </c>
      <c r="K49" s="20" t="s">
        <v>610</v>
      </c>
      <c r="L49" s="21">
        <v>0.75</v>
      </c>
    </row>
    <row r="50" spans="1:12" ht="14.4">
      <c r="A50" s="21">
        <v>84</v>
      </c>
      <c r="B50" s="20" t="s">
        <v>13</v>
      </c>
      <c r="C50" s="20" t="s">
        <v>14</v>
      </c>
      <c r="D50" s="20" t="s">
        <v>189</v>
      </c>
      <c r="E50" s="21">
        <v>9415919651</v>
      </c>
      <c r="F50" s="19" t="s">
        <v>190</v>
      </c>
      <c r="G50" s="20" t="s">
        <v>56</v>
      </c>
      <c r="H50" s="21">
        <v>4.2</v>
      </c>
      <c r="I50" s="21">
        <v>383</v>
      </c>
      <c r="J50" s="20" t="s">
        <v>56</v>
      </c>
      <c r="K50" s="20" t="s">
        <v>610</v>
      </c>
      <c r="L50" s="21">
        <v>0.88</v>
      </c>
    </row>
    <row r="51" spans="1:12" ht="14.4">
      <c r="A51" s="21">
        <v>85</v>
      </c>
      <c r="B51" s="20" t="s">
        <v>13</v>
      </c>
      <c r="C51" s="20" t="s">
        <v>14</v>
      </c>
      <c r="D51" s="20" t="s">
        <v>191</v>
      </c>
      <c r="E51" s="21">
        <v>9918391660</v>
      </c>
      <c r="F51" s="19" t="s">
        <v>192</v>
      </c>
      <c r="G51" s="20" t="s">
        <v>56</v>
      </c>
      <c r="H51" s="21">
        <v>4.2</v>
      </c>
      <c r="I51" s="21">
        <v>93</v>
      </c>
      <c r="J51" s="20" t="s">
        <v>56</v>
      </c>
      <c r="K51" s="20" t="s">
        <v>610</v>
      </c>
      <c r="L51" s="21">
        <v>0.95</v>
      </c>
    </row>
    <row r="52" spans="1:12" ht="14.4">
      <c r="A52" s="21">
        <v>86</v>
      </c>
      <c r="B52" s="20" t="s">
        <v>13</v>
      </c>
      <c r="C52" s="20" t="s">
        <v>14</v>
      </c>
      <c r="D52" s="20" t="s">
        <v>193</v>
      </c>
      <c r="E52" s="21">
        <v>5222304184</v>
      </c>
      <c r="F52" s="19" t="s">
        <v>194</v>
      </c>
      <c r="G52" s="20" t="s">
        <v>56</v>
      </c>
      <c r="H52" s="21">
        <v>3.9</v>
      </c>
      <c r="I52" s="21">
        <v>401</v>
      </c>
      <c r="J52" s="20" t="s">
        <v>56</v>
      </c>
      <c r="K52" s="20" t="s">
        <v>610</v>
      </c>
      <c r="L52" s="21">
        <v>0.91</v>
      </c>
    </row>
    <row r="53" spans="1:12" ht="14.4">
      <c r="A53" s="21">
        <v>87</v>
      </c>
      <c r="B53" s="20" t="s">
        <v>13</v>
      </c>
      <c r="C53" s="20" t="s">
        <v>14</v>
      </c>
      <c r="D53" s="20" t="s">
        <v>195</v>
      </c>
      <c r="E53" s="21">
        <v>9889339393</v>
      </c>
      <c r="F53" s="19" t="s">
        <v>196</v>
      </c>
      <c r="G53" s="20" t="s">
        <v>56</v>
      </c>
      <c r="H53" s="21">
        <v>4.8</v>
      </c>
      <c r="I53" s="21">
        <v>5</v>
      </c>
      <c r="J53" s="20" t="s">
        <v>56</v>
      </c>
      <c r="K53" s="20" t="s">
        <v>610</v>
      </c>
      <c r="L53" s="21">
        <v>1</v>
      </c>
    </row>
    <row r="54" spans="1:12" ht="14.4">
      <c r="A54" s="21">
        <v>88</v>
      </c>
      <c r="B54" s="20" t="s">
        <v>13</v>
      </c>
      <c r="C54" s="20" t="s">
        <v>14</v>
      </c>
      <c r="D54" s="20" t="s">
        <v>197</v>
      </c>
      <c r="E54" s="21">
        <v>9919379466</v>
      </c>
      <c r="F54" s="19" t="s">
        <v>198</v>
      </c>
      <c r="G54" s="20" t="s">
        <v>56</v>
      </c>
      <c r="H54" s="21">
        <v>3.8</v>
      </c>
      <c r="I54" s="21">
        <v>212</v>
      </c>
      <c r="J54" s="20" t="s">
        <v>56</v>
      </c>
      <c r="K54" s="20" t="s">
        <v>610</v>
      </c>
      <c r="L54" s="21">
        <v>0.98</v>
      </c>
    </row>
    <row r="55" spans="1:12" ht="14.4">
      <c r="A55" s="21">
        <v>89</v>
      </c>
      <c r="B55" s="20" t="s">
        <v>13</v>
      </c>
      <c r="C55" s="20" t="s">
        <v>14</v>
      </c>
      <c r="D55" s="20" t="s">
        <v>199</v>
      </c>
      <c r="E55" s="21">
        <v>9839703487</v>
      </c>
      <c r="F55" s="19" t="s">
        <v>200</v>
      </c>
      <c r="G55" s="20" t="s">
        <v>56</v>
      </c>
      <c r="H55" s="21">
        <v>4.5999999999999996</v>
      </c>
      <c r="I55" s="21">
        <v>15</v>
      </c>
      <c r="J55" s="20" t="s">
        <v>56</v>
      </c>
      <c r="K55" s="20" t="s">
        <v>610</v>
      </c>
      <c r="L55" s="21">
        <v>1</v>
      </c>
    </row>
    <row r="56" spans="1:12" ht="14.4">
      <c r="A56" s="21">
        <v>95</v>
      </c>
      <c r="B56" s="20" t="s">
        <v>13</v>
      </c>
      <c r="C56" s="20" t="s">
        <v>14</v>
      </c>
      <c r="D56" s="20" t="s">
        <v>211</v>
      </c>
      <c r="E56" s="21">
        <v>8808790704</v>
      </c>
      <c r="F56" s="19" t="s">
        <v>212</v>
      </c>
      <c r="G56" s="20" t="s">
        <v>213</v>
      </c>
      <c r="H56" s="21">
        <v>4.5999999999999996</v>
      </c>
      <c r="I56" s="21">
        <v>7</v>
      </c>
      <c r="J56" s="20" t="s">
        <v>213</v>
      </c>
      <c r="K56" s="20" t="s">
        <v>610</v>
      </c>
      <c r="L56" s="21">
        <v>0.81</v>
      </c>
    </row>
    <row r="57" spans="1:12" ht="14.4">
      <c r="A57" s="21">
        <v>96</v>
      </c>
      <c r="B57" s="20" t="s">
        <v>13</v>
      </c>
      <c r="C57" s="20" t="s">
        <v>14</v>
      </c>
      <c r="D57" s="20" t="s">
        <v>214</v>
      </c>
      <c r="E57" s="21">
        <v>9415479060</v>
      </c>
      <c r="F57" s="19" t="s">
        <v>215</v>
      </c>
      <c r="G57" s="20" t="s">
        <v>213</v>
      </c>
      <c r="H57" s="21">
        <v>4</v>
      </c>
      <c r="I57" s="21">
        <v>62</v>
      </c>
      <c r="J57" s="20" t="s">
        <v>213</v>
      </c>
      <c r="K57" s="20" t="s">
        <v>610</v>
      </c>
      <c r="L57" s="21">
        <v>1</v>
      </c>
    </row>
    <row r="58" spans="1:12" ht="14.4">
      <c r="A58" s="21">
        <v>97</v>
      </c>
      <c r="B58" s="20" t="s">
        <v>13</v>
      </c>
      <c r="C58" s="20" t="s">
        <v>14</v>
      </c>
      <c r="D58" s="20" t="s">
        <v>216</v>
      </c>
      <c r="E58" s="21">
        <v>9389131446</v>
      </c>
      <c r="F58" s="19" t="s">
        <v>217</v>
      </c>
      <c r="G58" s="20" t="s">
        <v>213</v>
      </c>
      <c r="H58" s="21">
        <v>2.8</v>
      </c>
      <c r="I58" s="21">
        <v>11</v>
      </c>
      <c r="J58" s="20" t="s">
        <v>213</v>
      </c>
      <c r="K58" s="20" t="s">
        <v>610</v>
      </c>
      <c r="L58" s="21">
        <v>1</v>
      </c>
    </row>
    <row r="59" spans="1:12" ht="14.4">
      <c r="A59" s="21">
        <v>98</v>
      </c>
      <c r="B59" s="20" t="s">
        <v>13</v>
      </c>
      <c r="C59" s="20" t="s">
        <v>14</v>
      </c>
      <c r="D59" s="19" t="s">
        <v>218</v>
      </c>
      <c r="E59" s="21">
        <v>8299803513</v>
      </c>
      <c r="F59" s="19" t="s">
        <v>219</v>
      </c>
      <c r="G59" s="20" t="s">
        <v>213</v>
      </c>
      <c r="H59" s="21">
        <v>2.5</v>
      </c>
      <c r="I59" s="21">
        <v>44</v>
      </c>
      <c r="J59" s="20" t="s">
        <v>213</v>
      </c>
      <c r="K59" s="20" t="s">
        <v>610</v>
      </c>
      <c r="L59" s="21">
        <v>0.99</v>
      </c>
    </row>
    <row r="60" spans="1:12" ht="14.4">
      <c r="A60" s="21">
        <v>99</v>
      </c>
      <c r="B60" s="20" t="s">
        <v>13</v>
      </c>
      <c r="C60" s="20" t="s">
        <v>14</v>
      </c>
      <c r="D60" s="20" t="s">
        <v>220</v>
      </c>
      <c r="E60" s="21">
        <v>9648847747</v>
      </c>
      <c r="F60" s="19" t="s">
        <v>221</v>
      </c>
      <c r="G60" s="20" t="s">
        <v>213</v>
      </c>
      <c r="H60" s="21">
        <v>4.3</v>
      </c>
      <c r="I60" s="21">
        <v>15</v>
      </c>
      <c r="J60" s="20" t="s">
        <v>213</v>
      </c>
      <c r="K60" s="20" t="s">
        <v>610</v>
      </c>
      <c r="L60" s="21">
        <v>0.96</v>
      </c>
    </row>
    <row r="61" spans="1:12" ht="14.4">
      <c r="A61" s="21">
        <v>100</v>
      </c>
      <c r="B61" s="20" t="s">
        <v>13</v>
      </c>
      <c r="C61" s="20" t="s">
        <v>14</v>
      </c>
      <c r="D61" s="20" t="s">
        <v>222</v>
      </c>
      <c r="E61" s="21">
        <v>5224002552</v>
      </c>
      <c r="F61" s="19" t="s">
        <v>223</v>
      </c>
      <c r="G61" s="20" t="s">
        <v>213</v>
      </c>
      <c r="H61" s="21">
        <v>4.3</v>
      </c>
      <c r="I61" s="21">
        <v>419</v>
      </c>
      <c r="J61" s="20" t="s">
        <v>213</v>
      </c>
      <c r="K61" s="20" t="s">
        <v>610</v>
      </c>
      <c r="L61" s="21">
        <v>0.97</v>
      </c>
    </row>
    <row r="62" spans="1:12" ht="14.4">
      <c r="A62" s="21">
        <v>101</v>
      </c>
      <c r="B62" s="20" t="s">
        <v>13</v>
      </c>
      <c r="C62" s="20" t="s">
        <v>14</v>
      </c>
      <c r="D62" s="20" t="s">
        <v>224</v>
      </c>
      <c r="E62" s="21">
        <v>9336383722</v>
      </c>
      <c r="F62" s="19" t="s">
        <v>225</v>
      </c>
      <c r="G62" s="20" t="s">
        <v>213</v>
      </c>
      <c r="H62" s="21">
        <v>4.2</v>
      </c>
      <c r="I62" s="21">
        <v>550</v>
      </c>
      <c r="J62" s="20" t="s">
        <v>213</v>
      </c>
      <c r="K62" s="20" t="s">
        <v>610</v>
      </c>
      <c r="L62" s="21">
        <v>0.98</v>
      </c>
    </row>
    <row r="63" spans="1:12" ht="14.4">
      <c r="A63" s="21">
        <v>102</v>
      </c>
      <c r="B63" s="20" t="s">
        <v>13</v>
      </c>
      <c r="C63" s="20" t="s">
        <v>14</v>
      </c>
      <c r="D63" s="20" t="s">
        <v>226</v>
      </c>
      <c r="E63" s="21">
        <v>9235404869</v>
      </c>
      <c r="F63" s="19" t="s">
        <v>227</v>
      </c>
      <c r="G63" s="20" t="s">
        <v>213</v>
      </c>
      <c r="H63" s="21">
        <v>4.9000000000000004</v>
      </c>
      <c r="I63" s="21">
        <v>146</v>
      </c>
      <c r="J63" s="20" t="s">
        <v>213</v>
      </c>
      <c r="K63" s="20" t="s">
        <v>610</v>
      </c>
      <c r="L63" s="21">
        <v>0.99</v>
      </c>
    </row>
    <row r="64" spans="1:12" ht="14.4">
      <c r="A64" s="21">
        <v>103</v>
      </c>
      <c r="B64" s="20" t="s">
        <v>13</v>
      </c>
      <c r="C64" s="20" t="s">
        <v>14</v>
      </c>
      <c r="D64" s="20" t="s">
        <v>228</v>
      </c>
      <c r="E64" s="21">
        <v>8874474455</v>
      </c>
      <c r="F64" s="19" t="s">
        <v>229</v>
      </c>
      <c r="G64" s="20" t="s">
        <v>213</v>
      </c>
      <c r="H64" s="21">
        <v>4</v>
      </c>
      <c r="I64" s="21">
        <v>1920</v>
      </c>
      <c r="J64" s="20" t="s">
        <v>213</v>
      </c>
      <c r="K64" s="20" t="s">
        <v>610</v>
      </c>
      <c r="L64" s="21">
        <v>0.98</v>
      </c>
    </row>
    <row r="65" spans="1:12" ht="14.4">
      <c r="A65" s="21">
        <v>104</v>
      </c>
      <c r="B65" s="20" t="s">
        <v>13</v>
      </c>
      <c r="C65" s="20" t="s">
        <v>14</v>
      </c>
      <c r="D65" s="20" t="s">
        <v>230</v>
      </c>
      <c r="E65" s="21">
        <v>9170026504</v>
      </c>
      <c r="F65" s="19" t="s">
        <v>231</v>
      </c>
      <c r="G65" s="20" t="s">
        <v>213</v>
      </c>
      <c r="H65" s="21">
        <v>5</v>
      </c>
      <c r="I65" s="21">
        <v>37</v>
      </c>
      <c r="J65" s="20" t="s">
        <v>213</v>
      </c>
      <c r="K65" s="20" t="s">
        <v>610</v>
      </c>
      <c r="L65" s="21">
        <v>0.65</v>
      </c>
    </row>
    <row r="66" spans="1:12" ht="14.4">
      <c r="A66" s="21">
        <v>105</v>
      </c>
      <c r="B66" s="20" t="s">
        <v>13</v>
      </c>
      <c r="C66" s="20" t="s">
        <v>14</v>
      </c>
      <c r="D66" s="20" t="s">
        <v>232</v>
      </c>
      <c r="E66" s="21">
        <v>7607491101</v>
      </c>
      <c r="F66" s="19" t="s">
        <v>233</v>
      </c>
      <c r="G66" s="20" t="s">
        <v>213</v>
      </c>
      <c r="H66" s="21">
        <v>4.9000000000000004</v>
      </c>
      <c r="I66" s="21">
        <v>97</v>
      </c>
      <c r="J66" s="20" t="s">
        <v>213</v>
      </c>
      <c r="K66" s="20" t="s">
        <v>610</v>
      </c>
      <c r="L66" s="21">
        <v>0.96</v>
      </c>
    </row>
    <row r="67" spans="1:12" ht="14.4">
      <c r="A67" s="21">
        <v>106</v>
      </c>
      <c r="B67" s="20" t="s">
        <v>13</v>
      </c>
      <c r="C67" s="20" t="s">
        <v>14</v>
      </c>
      <c r="D67" s="20" t="s">
        <v>234</v>
      </c>
      <c r="E67" s="21">
        <v>8174943200</v>
      </c>
      <c r="F67" s="19" t="s">
        <v>235</v>
      </c>
      <c r="G67" s="20" t="s">
        <v>213</v>
      </c>
      <c r="H67" s="21">
        <v>4.5</v>
      </c>
      <c r="I67" s="21">
        <v>104</v>
      </c>
      <c r="J67" s="20" t="s">
        <v>213</v>
      </c>
      <c r="K67" s="20" t="s">
        <v>610</v>
      </c>
      <c r="L67" s="21">
        <v>0.78</v>
      </c>
    </row>
    <row r="68" spans="1:12" ht="14.4">
      <c r="A68" s="21">
        <v>107</v>
      </c>
      <c r="B68" s="20" t="s">
        <v>13</v>
      </c>
      <c r="C68" s="20" t="s">
        <v>14</v>
      </c>
      <c r="D68" s="20" t="s">
        <v>236</v>
      </c>
      <c r="E68" s="21">
        <v>8318846600</v>
      </c>
      <c r="F68" s="19" t="s">
        <v>237</v>
      </c>
      <c r="G68" s="20" t="s">
        <v>213</v>
      </c>
      <c r="H68" s="21">
        <v>4.7</v>
      </c>
      <c r="I68" s="21">
        <v>85</v>
      </c>
      <c r="J68" s="20" t="s">
        <v>213</v>
      </c>
      <c r="K68" s="20" t="s">
        <v>610</v>
      </c>
      <c r="L68" s="21">
        <v>0.91</v>
      </c>
    </row>
    <row r="69" spans="1:12" ht="14.4">
      <c r="A69" s="21">
        <v>108</v>
      </c>
      <c r="B69" s="20" t="s">
        <v>13</v>
      </c>
      <c r="C69" s="20" t="s">
        <v>14</v>
      </c>
      <c r="D69" s="20" t="s">
        <v>238</v>
      </c>
      <c r="E69" s="21">
        <v>7007786520</v>
      </c>
      <c r="F69" s="19" t="s">
        <v>239</v>
      </c>
      <c r="G69" s="20" t="s">
        <v>213</v>
      </c>
      <c r="H69" s="21">
        <v>4.9000000000000004</v>
      </c>
      <c r="I69" s="21">
        <v>34</v>
      </c>
      <c r="J69" s="20" t="s">
        <v>213</v>
      </c>
      <c r="K69" s="20" t="s">
        <v>610</v>
      </c>
      <c r="L69" s="21">
        <v>1</v>
      </c>
    </row>
    <row r="70" spans="1:12" ht="14.4">
      <c r="A70" s="21">
        <v>114</v>
      </c>
      <c r="B70" s="20" t="s">
        <v>13</v>
      </c>
      <c r="C70" s="20" t="s">
        <v>14</v>
      </c>
      <c r="D70" s="20" t="s">
        <v>251</v>
      </c>
      <c r="E70" s="21">
        <v>5222611484</v>
      </c>
      <c r="F70" s="19" t="s">
        <v>252</v>
      </c>
      <c r="G70" s="20" t="s">
        <v>56</v>
      </c>
      <c r="H70" s="21">
        <v>3.9</v>
      </c>
      <c r="I70" s="21">
        <v>37</v>
      </c>
      <c r="J70" s="20" t="s">
        <v>56</v>
      </c>
      <c r="K70" s="20" t="s">
        <v>610</v>
      </c>
      <c r="L70" s="21">
        <v>0.96</v>
      </c>
    </row>
    <row r="71" spans="1:12" ht="14.4">
      <c r="A71" s="21">
        <v>115</v>
      </c>
      <c r="B71" s="20" t="s">
        <v>13</v>
      </c>
      <c r="C71" s="20" t="s">
        <v>14</v>
      </c>
      <c r="D71" s="20" t="s">
        <v>253</v>
      </c>
      <c r="E71" s="21">
        <v>9918330786</v>
      </c>
      <c r="F71" s="19" t="s">
        <v>254</v>
      </c>
      <c r="G71" s="20" t="s">
        <v>56</v>
      </c>
      <c r="H71" s="21">
        <v>4.2</v>
      </c>
      <c r="I71" s="21">
        <v>31</v>
      </c>
      <c r="J71" s="20" t="s">
        <v>56</v>
      </c>
      <c r="K71" s="20" t="s">
        <v>610</v>
      </c>
      <c r="L71" s="21">
        <v>0.98</v>
      </c>
    </row>
    <row r="72" spans="1:12" ht="14.4">
      <c r="A72" s="21">
        <v>116</v>
      </c>
      <c r="B72" s="20" t="s">
        <v>13</v>
      </c>
      <c r="C72" s="20" t="s">
        <v>14</v>
      </c>
      <c r="D72" s="20" t="s">
        <v>255</v>
      </c>
      <c r="E72" s="21">
        <v>8881999204</v>
      </c>
      <c r="F72" s="19" t="s">
        <v>256</v>
      </c>
      <c r="G72" s="20" t="s">
        <v>56</v>
      </c>
      <c r="H72" s="21">
        <v>4.4000000000000004</v>
      </c>
      <c r="I72" s="21">
        <v>28</v>
      </c>
      <c r="J72" s="20" t="s">
        <v>56</v>
      </c>
      <c r="K72" s="20" t="s">
        <v>610</v>
      </c>
      <c r="L72" s="21">
        <v>0.98</v>
      </c>
    </row>
    <row r="73" spans="1:12" ht="14.4">
      <c r="A73" s="21">
        <v>117</v>
      </c>
      <c r="B73" s="20" t="s">
        <v>13</v>
      </c>
      <c r="C73" s="20" t="s">
        <v>14</v>
      </c>
      <c r="D73" s="20" t="s">
        <v>257</v>
      </c>
      <c r="E73" s="21">
        <v>8960367600</v>
      </c>
      <c r="F73" s="19" t="s">
        <v>258</v>
      </c>
      <c r="G73" s="20" t="s">
        <v>56</v>
      </c>
      <c r="H73" s="21">
        <v>3.9</v>
      </c>
      <c r="I73" s="21">
        <v>170</v>
      </c>
      <c r="J73" s="20" t="s">
        <v>56</v>
      </c>
      <c r="K73" s="20" t="s">
        <v>610</v>
      </c>
      <c r="L73" s="21">
        <v>0.96</v>
      </c>
    </row>
    <row r="74" spans="1:12" ht="14.4">
      <c r="A74" s="21">
        <v>118</v>
      </c>
      <c r="B74" s="20" t="s">
        <v>13</v>
      </c>
      <c r="C74" s="20" t="s">
        <v>14</v>
      </c>
      <c r="D74" s="20" t="s">
        <v>259</v>
      </c>
      <c r="E74" s="21">
        <v>9005680925</v>
      </c>
      <c r="F74" s="19" t="s">
        <v>260</v>
      </c>
      <c r="G74" s="20" t="s">
        <v>56</v>
      </c>
      <c r="H74" s="21">
        <v>4.0999999999999996</v>
      </c>
      <c r="I74" s="21">
        <v>58</v>
      </c>
      <c r="J74" s="20" t="s">
        <v>56</v>
      </c>
      <c r="K74" s="20" t="s">
        <v>610</v>
      </c>
      <c r="L74" s="21">
        <v>0.99</v>
      </c>
    </row>
    <row r="75" spans="1:12" ht="14.4">
      <c r="A75" s="21">
        <v>119</v>
      </c>
      <c r="B75" s="20" t="s">
        <v>13</v>
      </c>
      <c r="C75" s="20" t="s">
        <v>14</v>
      </c>
      <c r="D75" s="20" t="s">
        <v>261</v>
      </c>
      <c r="E75" s="21">
        <v>7524823140</v>
      </c>
      <c r="F75" s="19" t="s">
        <v>262</v>
      </c>
      <c r="G75" s="20" t="s">
        <v>56</v>
      </c>
      <c r="H75" s="21">
        <v>5</v>
      </c>
      <c r="I75" s="21">
        <v>1</v>
      </c>
      <c r="J75" s="20" t="s">
        <v>56</v>
      </c>
      <c r="K75" s="20" t="s">
        <v>610</v>
      </c>
      <c r="L75" s="21">
        <v>1</v>
      </c>
    </row>
    <row r="76" spans="1:12" ht="14.4">
      <c r="A76" s="21">
        <v>120</v>
      </c>
      <c r="B76" s="20" t="s">
        <v>13</v>
      </c>
      <c r="C76" s="20" t="s">
        <v>14</v>
      </c>
      <c r="D76" s="20" t="s">
        <v>263</v>
      </c>
      <c r="E76" s="21">
        <v>8808042916</v>
      </c>
      <c r="F76" s="19" t="s">
        <v>264</v>
      </c>
      <c r="G76" s="20" t="s">
        <v>56</v>
      </c>
      <c r="H76" s="21">
        <v>4.4000000000000004</v>
      </c>
      <c r="I76" s="21">
        <v>34</v>
      </c>
      <c r="J76" s="20" t="s">
        <v>56</v>
      </c>
      <c r="K76" s="20" t="s">
        <v>610</v>
      </c>
      <c r="L76" s="21">
        <v>1</v>
      </c>
    </row>
    <row r="77" spans="1:12" ht="14.4">
      <c r="A77" s="21">
        <v>121</v>
      </c>
      <c r="B77" s="20" t="s">
        <v>13</v>
      </c>
      <c r="C77" s="20" t="s">
        <v>14</v>
      </c>
      <c r="D77" s="20" t="s">
        <v>265</v>
      </c>
      <c r="E77" s="21">
        <v>9369233881</v>
      </c>
      <c r="F77" s="19" t="s">
        <v>266</v>
      </c>
      <c r="G77" s="20" t="s">
        <v>56</v>
      </c>
      <c r="H77" s="21">
        <v>4.8</v>
      </c>
      <c r="I77" s="21">
        <v>140</v>
      </c>
      <c r="J77" s="20" t="s">
        <v>56</v>
      </c>
      <c r="K77" s="20" t="s">
        <v>610</v>
      </c>
      <c r="L77" s="21">
        <v>1</v>
      </c>
    </row>
    <row r="78" spans="1:12" ht="14.4">
      <c r="A78" s="21">
        <v>122</v>
      </c>
      <c r="B78" s="20" t="s">
        <v>13</v>
      </c>
      <c r="C78" s="20" t="s">
        <v>14</v>
      </c>
      <c r="D78" s="20" t="s">
        <v>267</v>
      </c>
      <c r="E78" s="21">
        <v>7408423070</v>
      </c>
      <c r="F78" s="19" t="s">
        <v>268</v>
      </c>
      <c r="G78" s="20" t="s">
        <v>56</v>
      </c>
      <c r="H78" s="21">
        <v>4.3</v>
      </c>
      <c r="I78" s="21">
        <v>636</v>
      </c>
      <c r="J78" s="20" t="s">
        <v>56</v>
      </c>
      <c r="K78" s="20" t="s">
        <v>610</v>
      </c>
      <c r="L78" s="21">
        <v>0.96</v>
      </c>
    </row>
    <row r="79" spans="1:12" ht="14.4">
      <c r="A79" s="21">
        <v>123</v>
      </c>
      <c r="B79" s="20" t="s">
        <v>13</v>
      </c>
      <c r="C79" s="20" t="s">
        <v>14</v>
      </c>
      <c r="D79" s="20" t="s">
        <v>269</v>
      </c>
      <c r="E79" s="21">
        <v>8467889406</v>
      </c>
      <c r="F79" s="19" t="s">
        <v>270</v>
      </c>
      <c r="G79" s="20" t="s">
        <v>56</v>
      </c>
      <c r="H79" s="21">
        <v>5</v>
      </c>
      <c r="I79" s="21">
        <v>5</v>
      </c>
      <c r="J79" s="20" t="s">
        <v>56</v>
      </c>
      <c r="K79" s="20" t="s">
        <v>610</v>
      </c>
      <c r="L79" s="21">
        <v>1</v>
      </c>
    </row>
    <row r="80" spans="1:12" ht="14.4">
      <c r="A80" s="21">
        <v>124</v>
      </c>
      <c r="B80" s="20" t="s">
        <v>13</v>
      </c>
      <c r="C80" s="20" t="s">
        <v>14</v>
      </c>
      <c r="D80" s="20" t="s">
        <v>271</v>
      </c>
      <c r="E80" s="21">
        <v>9935565591</v>
      </c>
      <c r="F80" s="19" t="s">
        <v>272</v>
      </c>
      <c r="G80" s="20" t="s">
        <v>56</v>
      </c>
      <c r="H80" s="21">
        <v>4.0999999999999996</v>
      </c>
      <c r="I80" s="21">
        <v>12</v>
      </c>
      <c r="J80" s="20" t="s">
        <v>56</v>
      </c>
      <c r="K80" s="20" t="s">
        <v>610</v>
      </c>
      <c r="L80" s="21">
        <v>0.96</v>
      </c>
    </row>
    <row r="81" spans="1:12" ht="14.4">
      <c r="A81" s="21">
        <v>125</v>
      </c>
      <c r="B81" s="20" t="s">
        <v>13</v>
      </c>
      <c r="C81" s="20" t="s">
        <v>14</v>
      </c>
      <c r="D81" s="20" t="s">
        <v>273</v>
      </c>
      <c r="E81" s="21">
        <v>9580521078</v>
      </c>
      <c r="F81" s="19" t="s">
        <v>274</v>
      </c>
      <c r="G81" s="20" t="s">
        <v>56</v>
      </c>
      <c r="H81" s="21">
        <v>5</v>
      </c>
      <c r="I81" s="21">
        <v>6</v>
      </c>
      <c r="J81" s="20" t="s">
        <v>56</v>
      </c>
      <c r="K81" s="20" t="s">
        <v>610</v>
      </c>
      <c r="L81" s="21">
        <v>1</v>
      </c>
    </row>
    <row r="82" spans="1:12" ht="14.4">
      <c r="A82" s="21">
        <v>126</v>
      </c>
      <c r="B82" s="20" t="s">
        <v>13</v>
      </c>
      <c r="C82" s="20" t="s">
        <v>14</v>
      </c>
      <c r="D82" s="20" t="s">
        <v>56</v>
      </c>
      <c r="E82" s="21">
        <v>7905648432</v>
      </c>
      <c r="F82" s="19" t="s">
        <v>275</v>
      </c>
      <c r="G82" s="20" t="s">
        <v>56</v>
      </c>
      <c r="H82" s="21">
        <v>5</v>
      </c>
      <c r="I82" s="21">
        <v>2</v>
      </c>
      <c r="J82" s="20" t="s">
        <v>56</v>
      </c>
      <c r="K82" s="20" t="s">
        <v>610</v>
      </c>
      <c r="L82" s="21">
        <v>1</v>
      </c>
    </row>
    <row r="83" spans="1:12" ht="14.4">
      <c r="A83" s="21">
        <v>127</v>
      </c>
      <c r="B83" s="20" t="s">
        <v>13</v>
      </c>
      <c r="C83" s="20" t="s">
        <v>14</v>
      </c>
      <c r="D83" s="20" t="s">
        <v>276</v>
      </c>
      <c r="E83" s="21">
        <v>8574230207</v>
      </c>
      <c r="F83" s="19" t="s">
        <v>277</v>
      </c>
      <c r="G83" s="20" t="s">
        <v>56</v>
      </c>
      <c r="H83" s="21">
        <v>5</v>
      </c>
      <c r="I83" s="21">
        <v>4</v>
      </c>
      <c r="J83" s="20" t="s">
        <v>56</v>
      </c>
      <c r="K83" s="20" t="s">
        <v>610</v>
      </c>
      <c r="L83" s="21">
        <v>1</v>
      </c>
    </row>
    <row r="84" spans="1:12" ht="14.4">
      <c r="A84" s="21">
        <v>128</v>
      </c>
      <c r="B84" s="20" t="s">
        <v>13</v>
      </c>
      <c r="C84" s="20" t="s">
        <v>14</v>
      </c>
      <c r="D84" s="20" t="s">
        <v>278</v>
      </c>
      <c r="E84" s="21">
        <v>6392201178</v>
      </c>
      <c r="F84" s="19" t="s">
        <v>279</v>
      </c>
      <c r="G84" s="20" t="s">
        <v>56</v>
      </c>
      <c r="H84" s="21">
        <v>5</v>
      </c>
      <c r="I84" s="21">
        <v>2</v>
      </c>
      <c r="J84" s="20" t="s">
        <v>56</v>
      </c>
      <c r="K84" s="20" t="s">
        <v>610</v>
      </c>
      <c r="L84" s="21">
        <v>1</v>
      </c>
    </row>
    <row r="85" spans="1:12" ht="14.4">
      <c r="A85" s="21">
        <v>134</v>
      </c>
      <c r="B85" s="20" t="s">
        <v>13</v>
      </c>
      <c r="C85" s="20" t="s">
        <v>14</v>
      </c>
      <c r="D85" s="20" t="s">
        <v>291</v>
      </c>
      <c r="E85" s="21">
        <v>9721000839</v>
      </c>
      <c r="F85" s="19" t="s">
        <v>292</v>
      </c>
      <c r="G85" s="20" t="s">
        <v>609</v>
      </c>
      <c r="H85" s="21">
        <v>4.9000000000000004</v>
      </c>
      <c r="I85" s="21">
        <v>504</v>
      </c>
      <c r="J85" s="20" t="s">
        <v>609</v>
      </c>
      <c r="K85" s="20" t="s">
        <v>610</v>
      </c>
      <c r="L85" s="21">
        <v>0.98</v>
      </c>
    </row>
    <row r="86" spans="1:12" ht="14.4">
      <c r="A86" s="21">
        <v>135</v>
      </c>
      <c r="B86" s="20" t="s">
        <v>13</v>
      </c>
      <c r="C86" s="20" t="s">
        <v>14</v>
      </c>
      <c r="D86" s="20" t="s">
        <v>293</v>
      </c>
      <c r="E86" s="21">
        <v>8885762957</v>
      </c>
      <c r="F86" s="19" t="s">
        <v>294</v>
      </c>
      <c r="G86" s="20" t="s">
        <v>609</v>
      </c>
      <c r="H86" s="21">
        <v>4.8</v>
      </c>
      <c r="I86" s="21">
        <v>66</v>
      </c>
      <c r="J86" s="20" t="s">
        <v>609</v>
      </c>
      <c r="K86" s="20" t="s">
        <v>610</v>
      </c>
      <c r="L86" s="21">
        <v>0.96</v>
      </c>
    </row>
    <row r="87" spans="1:12" ht="14.4">
      <c r="A87" s="21">
        <v>136</v>
      </c>
      <c r="B87" s="20" t="s">
        <v>13</v>
      </c>
      <c r="C87" s="20" t="s">
        <v>14</v>
      </c>
      <c r="D87" s="20" t="s">
        <v>295</v>
      </c>
      <c r="E87" s="21">
        <v>9120169074</v>
      </c>
      <c r="F87" s="19" t="s">
        <v>296</v>
      </c>
      <c r="G87" s="20" t="s">
        <v>609</v>
      </c>
      <c r="H87" s="21">
        <v>4.9000000000000004</v>
      </c>
      <c r="I87" s="21">
        <v>313</v>
      </c>
      <c r="J87" s="20" t="s">
        <v>609</v>
      </c>
      <c r="K87" s="20" t="s">
        <v>610</v>
      </c>
      <c r="L87" s="21">
        <v>0.98</v>
      </c>
    </row>
    <row r="88" spans="1:12" ht="14.4">
      <c r="A88" s="21">
        <v>137</v>
      </c>
      <c r="B88" s="20" t="s">
        <v>13</v>
      </c>
      <c r="C88" s="20" t="s">
        <v>14</v>
      </c>
      <c r="D88" s="20" t="s">
        <v>297</v>
      </c>
      <c r="E88" s="21">
        <v>7860314702</v>
      </c>
      <c r="F88" s="19" t="s">
        <v>298</v>
      </c>
      <c r="G88" s="20" t="s">
        <v>609</v>
      </c>
      <c r="H88" s="21">
        <v>4.9000000000000004</v>
      </c>
      <c r="I88" s="21">
        <v>192</v>
      </c>
      <c r="J88" s="20" t="s">
        <v>609</v>
      </c>
      <c r="K88" s="20" t="s">
        <v>610</v>
      </c>
      <c r="L88" s="21">
        <v>0.93</v>
      </c>
    </row>
    <row r="89" spans="1:12" ht="14.4">
      <c r="A89" s="21">
        <v>138</v>
      </c>
      <c r="B89" s="20" t="s">
        <v>13</v>
      </c>
      <c r="C89" s="20" t="s">
        <v>14</v>
      </c>
      <c r="D89" s="20" t="s">
        <v>299</v>
      </c>
      <c r="E89" s="21">
        <v>8707208110</v>
      </c>
      <c r="F89" s="19" t="s">
        <v>300</v>
      </c>
      <c r="G89" s="20" t="s">
        <v>609</v>
      </c>
      <c r="H89" s="21">
        <v>4.9000000000000004</v>
      </c>
      <c r="I89" s="21">
        <v>121</v>
      </c>
      <c r="J89" s="20" t="s">
        <v>609</v>
      </c>
      <c r="K89" s="20" t="s">
        <v>610</v>
      </c>
      <c r="L89" s="21">
        <v>0.98</v>
      </c>
    </row>
    <row r="90" spans="1:12" ht="14.4">
      <c r="A90" s="21">
        <v>139</v>
      </c>
      <c r="B90" s="20" t="s">
        <v>13</v>
      </c>
      <c r="C90" s="20" t="s">
        <v>14</v>
      </c>
      <c r="D90" s="20" t="s">
        <v>301</v>
      </c>
      <c r="E90" s="21">
        <v>9140942123</v>
      </c>
      <c r="F90" s="19" t="s">
        <v>302</v>
      </c>
      <c r="G90" s="20" t="s">
        <v>609</v>
      </c>
      <c r="H90" s="21">
        <v>4.5</v>
      </c>
      <c r="I90" s="21">
        <v>552</v>
      </c>
      <c r="J90" s="20" t="s">
        <v>609</v>
      </c>
      <c r="K90" s="20" t="s">
        <v>610</v>
      </c>
      <c r="L90" s="21">
        <v>1</v>
      </c>
    </row>
    <row r="91" spans="1:12" ht="14.4">
      <c r="A91" s="21">
        <v>140</v>
      </c>
      <c r="B91" s="20" t="s">
        <v>13</v>
      </c>
      <c r="C91" s="20" t="s">
        <v>14</v>
      </c>
      <c r="D91" s="20" t="s">
        <v>303</v>
      </c>
      <c r="E91" s="21">
        <v>9696294296</v>
      </c>
      <c r="F91" s="19" t="s">
        <v>304</v>
      </c>
      <c r="G91" s="20" t="s">
        <v>609</v>
      </c>
      <c r="H91" s="21">
        <v>4.9000000000000004</v>
      </c>
      <c r="I91" s="21">
        <v>66</v>
      </c>
      <c r="J91" s="20" t="s">
        <v>609</v>
      </c>
      <c r="K91" s="20" t="s">
        <v>610</v>
      </c>
      <c r="L91" s="21">
        <v>0.99</v>
      </c>
    </row>
    <row r="92" spans="1:12" ht="14.4">
      <c r="A92" s="21">
        <v>141</v>
      </c>
      <c r="B92" s="20" t="s">
        <v>13</v>
      </c>
      <c r="C92" s="20" t="s">
        <v>14</v>
      </c>
      <c r="D92" s="20" t="s">
        <v>305</v>
      </c>
      <c r="E92" s="21">
        <v>6394333919</v>
      </c>
      <c r="F92" s="19" t="s">
        <v>306</v>
      </c>
      <c r="G92" s="20" t="s">
        <v>609</v>
      </c>
      <c r="H92" s="21">
        <v>4.7</v>
      </c>
      <c r="I92" s="21">
        <v>81</v>
      </c>
      <c r="J92" s="20" t="s">
        <v>609</v>
      </c>
      <c r="K92" s="20" t="s">
        <v>610</v>
      </c>
      <c r="L92" s="21">
        <v>0.99</v>
      </c>
    </row>
    <row r="93" spans="1:12" ht="14.4">
      <c r="A93" s="21">
        <v>142</v>
      </c>
      <c r="B93" s="20" t="s">
        <v>13</v>
      </c>
      <c r="C93" s="20" t="s">
        <v>14</v>
      </c>
      <c r="D93" s="20" t="s">
        <v>307</v>
      </c>
      <c r="E93" s="21">
        <v>9140510184</v>
      </c>
      <c r="F93" s="19" t="s">
        <v>308</v>
      </c>
      <c r="G93" s="20" t="s">
        <v>609</v>
      </c>
      <c r="H93" s="21">
        <v>5</v>
      </c>
      <c r="I93" s="21">
        <v>29</v>
      </c>
      <c r="J93" s="20" t="s">
        <v>609</v>
      </c>
      <c r="K93" s="20" t="s">
        <v>610</v>
      </c>
      <c r="L93" s="21">
        <v>0.96</v>
      </c>
    </row>
    <row r="94" spans="1:12" ht="14.4">
      <c r="A94" s="21">
        <v>143</v>
      </c>
      <c r="B94" s="20" t="s">
        <v>13</v>
      </c>
      <c r="C94" s="20" t="s">
        <v>14</v>
      </c>
      <c r="D94" s="20" t="s">
        <v>309</v>
      </c>
      <c r="E94" s="21">
        <v>9919736852</v>
      </c>
      <c r="F94" s="19" t="s">
        <v>310</v>
      </c>
      <c r="G94" s="20" t="s">
        <v>609</v>
      </c>
      <c r="H94" s="21">
        <v>4.5999999999999996</v>
      </c>
      <c r="I94" s="21">
        <v>221</v>
      </c>
      <c r="J94" s="20" t="s">
        <v>609</v>
      </c>
      <c r="K94" s="20" t="s">
        <v>610</v>
      </c>
      <c r="L94" s="21">
        <v>0.96</v>
      </c>
    </row>
    <row r="95" spans="1:12" ht="14.4">
      <c r="A95" s="21">
        <v>144</v>
      </c>
      <c r="B95" s="20" t="s">
        <v>13</v>
      </c>
      <c r="C95" s="20" t="s">
        <v>14</v>
      </c>
      <c r="D95" s="20" t="s">
        <v>311</v>
      </c>
      <c r="E95" s="21">
        <v>9005379640</v>
      </c>
      <c r="F95" s="19" t="s">
        <v>312</v>
      </c>
      <c r="G95" s="20" t="s">
        <v>609</v>
      </c>
      <c r="H95" s="21">
        <v>5</v>
      </c>
      <c r="I95" s="21">
        <v>81</v>
      </c>
      <c r="J95" s="20" t="s">
        <v>609</v>
      </c>
      <c r="K95" s="20" t="s">
        <v>610</v>
      </c>
      <c r="L95" s="21">
        <v>0.93</v>
      </c>
    </row>
    <row r="96" spans="1:12" ht="14.4">
      <c r="A96" s="21">
        <v>145</v>
      </c>
      <c r="B96" s="20" t="s">
        <v>13</v>
      </c>
      <c r="C96" s="20" t="s">
        <v>14</v>
      </c>
      <c r="D96" s="20" t="s">
        <v>313</v>
      </c>
      <c r="E96" s="21">
        <v>7499413643</v>
      </c>
      <c r="F96" s="19" t="s">
        <v>314</v>
      </c>
      <c r="G96" s="20" t="s">
        <v>609</v>
      </c>
      <c r="H96" s="21">
        <v>4.9000000000000004</v>
      </c>
      <c r="I96" s="21">
        <v>101</v>
      </c>
      <c r="J96" s="20" t="s">
        <v>609</v>
      </c>
      <c r="K96" s="20" t="s">
        <v>610</v>
      </c>
      <c r="L96" s="21">
        <v>0.96</v>
      </c>
    </row>
    <row r="97" spans="1:12" ht="14.4">
      <c r="A97" s="21">
        <v>146</v>
      </c>
      <c r="B97" s="20" t="s">
        <v>13</v>
      </c>
      <c r="C97" s="20" t="s">
        <v>14</v>
      </c>
      <c r="D97" s="20" t="s">
        <v>315</v>
      </c>
      <c r="E97" s="21">
        <v>9807193717</v>
      </c>
      <c r="F97" s="19" t="s">
        <v>316</v>
      </c>
      <c r="G97" s="20" t="s">
        <v>609</v>
      </c>
      <c r="H97" s="21">
        <v>4.8</v>
      </c>
      <c r="I97" s="21">
        <v>216</v>
      </c>
      <c r="J97" s="20" t="s">
        <v>609</v>
      </c>
      <c r="K97" s="20" t="s">
        <v>610</v>
      </c>
      <c r="L97" s="21">
        <v>0.98</v>
      </c>
    </row>
    <row r="98" spans="1:12" ht="14.4">
      <c r="A98" s="21">
        <v>147</v>
      </c>
      <c r="B98" s="20" t="s">
        <v>13</v>
      </c>
      <c r="C98" s="20" t="s">
        <v>14</v>
      </c>
      <c r="D98" s="20" t="s">
        <v>317</v>
      </c>
      <c r="E98" s="21">
        <v>6392777848</v>
      </c>
      <c r="F98" s="19" t="s">
        <v>318</v>
      </c>
      <c r="G98" s="20" t="s">
        <v>609</v>
      </c>
      <c r="H98" s="21">
        <v>4.4000000000000004</v>
      </c>
      <c r="I98" s="21">
        <v>16</v>
      </c>
      <c r="J98" s="20" t="s">
        <v>609</v>
      </c>
      <c r="K98" s="20" t="s">
        <v>610</v>
      </c>
      <c r="L98" s="21">
        <v>0.93</v>
      </c>
    </row>
    <row r="99" spans="1:12" ht="14.4">
      <c r="A99" s="21">
        <v>148</v>
      </c>
      <c r="B99" s="20" t="s">
        <v>13</v>
      </c>
      <c r="C99" s="20" t="s">
        <v>14</v>
      </c>
      <c r="D99" s="20" t="s">
        <v>319</v>
      </c>
      <c r="E99" s="21">
        <v>9839660706</v>
      </c>
      <c r="F99" s="19" t="s">
        <v>320</v>
      </c>
      <c r="G99" s="20" t="s">
        <v>609</v>
      </c>
      <c r="H99" s="21">
        <v>4.9000000000000004</v>
      </c>
      <c r="I99" s="21">
        <v>99</v>
      </c>
      <c r="J99" s="20" t="s">
        <v>609</v>
      </c>
      <c r="K99" s="20" t="s">
        <v>610</v>
      </c>
      <c r="L99" s="21">
        <v>0.97</v>
      </c>
    </row>
    <row r="100" spans="1:12" ht="14.4">
      <c r="A100" s="21">
        <v>154</v>
      </c>
      <c r="B100" s="20" t="s">
        <v>13</v>
      </c>
      <c r="C100" s="20" t="s">
        <v>14</v>
      </c>
      <c r="D100" s="20" t="s">
        <v>332</v>
      </c>
      <c r="E100" s="21">
        <v>6393973428</v>
      </c>
      <c r="F100" s="19" t="s">
        <v>333</v>
      </c>
      <c r="G100" s="20" t="s">
        <v>56</v>
      </c>
      <c r="H100" s="21">
        <v>5</v>
      </c>
      <c r="I100" s="21">
        <v>4</v>
      </c>
      <c r="J100" s="20" t="s">
        <v>56</v>
      </c>
      <c r="K100" s="20" t="s">
        <v>610</v>
      </c>
      <c r="L100" s="21">
        <v>1</v>
      </c>
    </row>
    <row r="101" spans="1:12" ht="14.4">
      <c r="A101" s="21">
        <v>155</v>
      </c>
      <c r="B101" s="20" t="s">
        <v>13</v>
      </c>
      <c r="C101" s="20" t="s">
        <v>14</v>
      </c>
      <c r="D101" s="20" t="s">
        <v>251</v>
      </c>
      <c r="E101" s="21">
        <v>9450110621</v>
      </c>
      <c r="F101" s="19" t="s">
        <v>334</v>
      </c>
      <c r="G101" s="20" t="s">
        <v>56</v>
      </c>
      <c r="H101" s="21">
        <v>5</v>
      </c>
      <c r="I101" s="21">
        <v>1</v>
      </c>
      <c r="J101" s="20" t="s">
        <v>56</v>
      </c>
      <c r="K101" s="20" t="s">
        <v>610</v>
      </c>
      <c r="L101" s="21">
        <v>1</v>
      </c>
    </row>
    <row r="102" spans="1:12" ht="14.4">
      <c r="A102" s="21">
        <v>156</v>
      </c>
      <c r="B102" s="20" t="s">
        <v>13</v>
      </c>
      <c r="C102" s="20" t="s">
        <v>14</v>
      </c>
      <c r="D102" s="20" t="s">
        <v>335</v>
      </c>
      <c r="E102" s="21">
        <v>8564888944</v>
      </c>
      <c r="F102" s="19" t="s">
        <v>336</v>
      </c>
      <c r="G102" s="20" t="s">
        <v>56</v>
      </c>
      <c r="H102" s="21">
        <v>4</v>
      </c>
      <c r="I102" s="21">
        <v>18</v>
      </c>
      <c r="J102" s="20" t="s">
        <v>56</v>
      </c>
      <c r="K102" s="20" t="s">
        <v>610</v>
      </c>
      <c r="L102" s="21">
        <v>0.96</v>
      </c>
    </row>
    <row r="103" spans="1:12" ht="14.4">
      <c r="A103" s="21">
        <v>157</v>
      </c>
      <c r="B103" s="20" t="s">
        <v>13</v>
      </c>
      <c r="C103" s="20" t="s">
        <v>14</v>
      </c>
      <c r="D103" s="20" t="s">
        <v>337</v>
      </c>
      <c r="E103" s="21">
        <v>8565902920</v>
      </c>
      <c r="F103" s="19" t="s">
        <v>338</v>
      </c>
      <c r="G103" s="20" t="s">
        <v>56</v>
      </c>
      <c r="H103" s="21">
        <v>3.8</v>
      </c>
      <c r="I103" s="21">
        <v>51</v>
      </c>
      <c r="J103" s="20" t="s">
        <v>56</v>
      </c>
      <c r="K103" s="20" t="s">
        <v>610</v>
      </c>
      <c r="L103" s="21">
        <v>1</v>
      </c>
    </row>
    <row r="104" spans="1:12" ht="14.4">
      <c r="A104" s="21">
        <v>158</v>
      </c>
      <c r="B104" s="20" t="s">
        <v>13</v>
      </c>
      <c r="C104" s="20" t="s">
        <v>14</v>
      </c>
      <c r="D104" s="20" t="s">
        <v>339</v>
      </c>
      <c r="E104" s="21">
        <v>9659533423</v>
      </c>
      <c r="F104" s="19" t="s">
        <v>340</v>
      </c>
      <c r="G104" s="20" t="s">
        <v>56</v>
      </c>
      <c r="H104" s="21">
        <v>5</v>
      </c>
      <c r="I104" s="21">
        <v>1</v>
      </c>
      <c r="J104" s="20" t="s">
        <v>56</v>
      </c>
      <c r="K104" s="20" t="s">
        <v>610</v>
      </c>
      <c r="L104" s="21">
        <v>1</v>
      </c>
    </row>
    <row r="105" spans="1:12" ht="14.4">
      <c r="A105" s="21">
        <v>159</v>
      </c>
      <c r="B105" s="20" t="s">
        <v>13</v>
      </c>
      <c r="C105" s="20" t="s">
        <v>14</v>
      </c>
      <c r="D105" s="20" t="s">
        <v>341</v>
      </c>
      <c r="E105" s="21">
        <v>8565065134</v>
      </c>
      <c r="F105" s="19" t="s">
        <v>342</v>
      </c>
      <c r="G105" s="20" t="s">
        <v>56</v>
      </c>
      <c r="H105" s="21">
        <v>4.9000000000000004</v>
      </c>
      <c r="I105" s="21">
        <v>24</v>
      </c>
      <c r="J105" s="20" t="s">
        <v>56</v>
      </c>
      <c r="K105" s="20" t="s">
        <v>610</v>
      </c>
      <c r="L105" s="21">
        <v>1</v>
      </c>
    </row>
    <row r="106" spans="1:12" ht="14.4">
      <c r="A106" s="21">
        <v>160</v>
      </c>
      <c r="B106" s="20" t="s">
        <v>13</v>
      </c>
      <c r="C106" s="20" t="s">
        <v>14</v>
      </c>
      <c r="D106" s="20" t="s">
        <v>56</v>
      </c>
      <c r="E106" s="21">
        <v>9415577246</v>
      </c>
      <c r="F106" s="19" t="s">
        <v>343</v>
      </c>
      <c r="G106" s="20" t="s">
        <v>56</v>
      </c>
      <c r="H106" s="21">
        <v>4.3</v>
      </c>
      <c r="I106" s="21">
        <v>15</v>
      </c>
      <c r="J106" s="20" t="s">
        <v>56</v>
      </c>
      <c r="K106" s="20" t="s">
        <v>610</v>
      </c>
      <c r="L106" s="21">
        <v>0.96</v>
      </c>
    </row>
    <row r="107" spans="1:12" ht="14.4">
      <c r="A107" s="21">
        <v>161</v>
      </c>
      <c r="B107" s="20" t="s">
        <v>13</v>
      </c>
      <c r="C107" s="20" t="s">
        <v>14</v>
      </c>
      <c r="D107" s="20" t="s">
        <v>344</v>
      </c>
      <c r="E107" s="21">
        <v>9305265921</v>
      </c>
      <c r="F107" s="19" t="s">
        <v>345</v>
      </c>
      <c r="G107" s="20" t="s">
        <v>56</v>
      </c>
      <c r="H107" s="21">
        <v>5</v>
      </c>
      <c r="I107" s="21">
        <v>4</v>
      </c>
      <c r="J107" s="20" t="s">
        <v>56</v>
      </c>
      <c r="K107" s="20" t="s">
        <v>610</v>
      </c>
      <c r="L107" s="21">
        <v>1</v>
      </c>
    </row>
    <row r="108" spans="1:12" ht="14.4">
      <c r="A108" s="21">
        <v>162</v>
      </c>
      <c r="B108" s="20" t="s">
        <v>13</v>
      </c>
      <c r="C108" s="20" t="s">
        <v>14</v>
      </c>
      <c r="D108" s="20" t="s">
        <v>346</v>
      </c>
      <c r="E108" s="21">
        <v>9453836171</v>
      </c>
      <c r="F108" s="19" t="s">
        <v>347</v>
      </c>
      <c r="G108" s="20" t="s">
        <v>56</v>
      </c>
      <c r="H108" s="21">
        <v>4.8</v>
      </c>
      <c r="I108" s="21">
        <v>5</v>
      </c>
      <c r="J108" s="20" t="s">
        <v>56</v>
      </c>
      <c r="K108" s="20" t="s">
        <v>610</v>
      </c>
      <c r="L108" s="21">
        <v>1</v>
      </c>
    </row>
    <row r="109" spans="1:12" ht="14.4">
      <c r="A109" s="21">
        <v>163</v>
      </c>
      <c r="B109" s="20" t="s">
        <v>13</v>
      </c>
      <c r="C109" s="20" t="s">
        <v>14</v>
      </c>
      <c r="D109" s="20" t="s">
        <v>348</v>
      </c>
      <c r="E109" s="21">
        <v>9795518366</v>
      </c>
      <c r="F109" s="19" t="s">
        <v>349</v>
      </c>
      <c r="G109" s="20" t="s">
        <v>56</v>
      </c>
      <c r="H109" s="21">
        <v>5</v>
      </c>
      <c r="I109" s="21">
        <v>2</v>
      </c>
      <c r="J109" s="20" t="s">
        <v>56</v>
      </c>
      <c r="K109" s="20" t="s">
        <v>610</v>
      </c>
      <c r="L109" s="21">
        <v>1</v>
      </c>
    </row>
    <row r="110" spans="1:12" ht="14.4">
      <c r="A110" s="21">
        <v>164</v>
      </c>
      <c r="B110" s="20" t="s">
        <v>13</v>
      </c>
      <c r="C110" s="20" t="s">
        <v>14</v>
      </c>
      <c r="D110" s="20" t="s">
        <v>350</v>
      </c>
      <c r="E110" s="21">
        <v>9198038319</v>
      </c>
      <c r="F110" s="19" t="s">
        <v>351</v>
      </c>
      <c r="G110" s="20" t="s">
        <v>56</v>
      </c>
      <c r="H110" s="21">
        <v>4.4000000000000004</v>
      </c>
      <c r="I110" s="21">
        <v>31</v>
      </c>
      <c r="J110" s="20" t="s">
        <v>56</v>
      </c>
      <c r="K110" s="20" t="s">
        <v>610</v>
      </c>
      <c r="L110" s="21">
        <v>1</v>
      </c>
    </row>
    <row r="111" spans="1:12" ht="14.4">
      <c r="A111" s="21">
        <v>165</v>
      </c>
      <c r="B111" s="20" t="s">
        <v>13</v>
      </c>
      <c r="C111" s="20" t="s">
        <v>14</v>
      </c>
      <c r="D111" s="20" t="s">
        <v>352</v>
      </c>
      <c r="E111" s="21">
        <v>9555133345</v>
      </c>
      <c r="F111" s="19" t="s">
        <v>353</v>
      </c>
      <c r="G111" s="20" t="s">
        <v>56</v>
      </c>
      <c r="H111" s="21">
        <v>4.4000000000000004</v>
      </c>
      <c r="I111" s="21">
        <v>7</v>
      </c>
      <c r="J111" s="20" t="s">
        <v>56</v>
      </c>
      <c r="K111" s="20" t="s">
        <v>610</v>
      </c>
      <c r="L111" s="21">
        <v>0.65</v>
      </c>
    </row>
    <row r="112" spans="1:12" ht="14.4">
      <c r="A112" s="21">
        <v>166</v>
      </c>
      <c r="B112" s="20" t="s">
        <v>13</v>
      </c>
      <c r="C112" s="20" t="s">
        <v>14</v>
      </c>
      <c r="D112" s="20" t="s">
        <v>354</v>
      </c>
      <c r="E112" s="21">
        <v>9936888000</v>
      </c>
      <c r="F112" s="19" t="s">
        <v>355</v>
      </c>
      <c r="G112" s="20" t="s">
        <v>56</v>
      </c>
      <c r="H112" s="21">
        <v>4.8</v>
      </c>
      <c r="I112" s="21">
        <v>16173</v>
      </c>
      <c r="J112" s="20" t="s">
        <v>56</v>
      </c>
      <c r="K112" s="20" t="s">
        <v>610</v>
      </c>
      <c r="L112" s="21">
        <v>1</v>
      </c>
    </row>
    <row r="113" spans="1:12" ht="14.4">
      <c r="A113" s="21">
        <v>167</v>
      </c>
      <c r="B113" s="20" t="s">
        <v>13</v>
      </c>
      <c r="C113" s="20" t="s">
        <v>14</v>
      </c>
      <c r="D113" s="20" t="s">
        <v>356</v>
      </c>
      <c r="E113" s="21">
        <v>8874888805</v>
      </c>
      <c r="F113" s="19" t="s">
        <v>357</v>
      </c>
      <c r="G113" s="20" t="s">
        <v>358</v>
      </c>
      <c r="H113" s="21">
        <v>4.5</v>
      </c>
      <c r="I113" s="21">
        <v>1092</v>
      </c>
      <c r="J113" s="20" t="s">
        <v>358</v>
      </c>
      <c r="K113" s="20" t="s">
        <v>610</v>
      </c>
      <c r="L113" s="21">
        <v>1</v>
      </c>
    </row>
    <row r="114" spans="1:12" ht="14.4">
      <c r="A114" s="21">
        <v>168</v>
      </c>
      <c r="B114" s="20" t="s">
        <v>13</v>
      </c>
      <c r="C114" s="20" t="s">
        <v>14</v>
      </c>
      <c r="D114" s="20" t="s">
        <v>359</v>
      </c>
      <c r="E114" s="21">
        <v>9919990331</v>
      </c>
      <c r="F114" s="19" t="s">
        <v>360</v>
      </c>
      <c r="G114" s="20" t="s">
        <v>358</v>
      </c>
      <c r="H114" s="21">
        <v>4.3</v>
      </c>
      <c r="I114" s="21">
        <v>517</v>
      </c>
      <c r="J114" s="20" t="s">
        <v>358</v>
      </c>
      <c r="K114" s="20" t="s">
        <v>610</v>
      </c>
      <c r="L114" s="21">
        <v>0.98</v>
      </c>
    </row>
    <row r="115" spans="1:12" ht="14.4">
      <c r="A115" s="21">
        <v>169</v>
      </c>
      <c r="B115" s="20" t="s">
        <v>13</v>
      </c>
      <c r="C115" s="20" t="s">
        <v>14</v>
      </c>
      <c r="D115" s="20" t="s">
        <v>361</v>
      </c>
      <c r="E115" s="21">
        <v>8400399594</v>
      </c>
      <c r="F115" s="19" t="s">
        <v>362</v>
      </c>
      <c r="G115" s="20" t="s">
        <v>358</v>
      </c>
      <c r="H115" s="21">
        <v>4.7</v>
      </c>
      <c r="I115" s="21">
        <v>709</v>
      </c>
      <c r="J115" s="20" t="s">
        <v>358</v>
      </c>
      <c r="K115" s="20" t="s">
        <v>610</v>
      </c>
      <c r="L115" s="21">
        <v>1</v>
      </c>
    </row>
    <row r="116" spans="1:12" ht="14.4">
      <c r="A116" s="21">
        <v>175</v>
      </c>
      <c r="B116" s="20" t="s">
        <v>13</v>
      </c>
      <c r="C116" s="20" t="s">
        <v>14</v>
      </c>
      <c r="D116" s="20" t="s">
        <v>361</v>
      </c>
      <c r="E116" s="21">
        <v>8400399594</v>
      </c>
      <c r="F116" s="19" t="s">
        <v>362</v>
      </c>
      <c r="G116" s="20" t="s">
        <v>358</v>
      </c>
      <c r="H116" s="21">
        <v>4.7</v>
      </c>
      <c r="I116" s="21">
        <v>709</v>
      </c>
      <c r="J116" s="20" t="s">
        <v>358</v>
      </c>
      <c r="K116" s="20" t="s">
        <v>610</v>
      </c>
      <c r="L116" s="21">
        <v>1</v>
      </c>
    </row>
    <row r="117" spans="1:12" ht="14.4">
      <c r="A117" s="21">
        <v>176</v>
      </c>
      <c r="B117" s="20" t="s">
        <v>13</v>
      </c>
      <c r="C117" s="20" t="s">
        <v>14</v>
      </c>
      <c r="D117" s="20" t="s">
        <v>373</v>
      </c>
      <c r="E117" s="21">
        <v>9919990331</v>
      </c>
      <c r="F117" s="19" t="s">
        <v>374</v>
      </c>
      <c r="G117" s="20" t="s">
        <v>358</v>
      </c>
      <c r="H117" s="21">
        <v>4.3</v>
      </c>
      <c r="I117" s="21">
        <v>517</v>
      </c>
      <c r="J117" s="20" t="s">
        <v>358</v>
      </c>
      <c r="K117" s="20" t="s">
        <v>610</v>
      </c>
      <c r="L117" s="21">
        <v>0.98</v>
      </c>
    </row>
    <row r="118" spans="1:12" ht="14.4">
      <c r="A118" s="21">
        <v>177</v>
      </c>
      <c r="B118" s="20" t="s">
        <v>13</v>
      </c>
      <c r="C118" s="20" t="s">
        <v>14</v>
      </c>
      <c r="D118" s="20" t="s">
        <v>375</v>
      </c>
      <c r="E118" s="21">
        <v>9454363252</v>
      </c>
      <c r="F118" s="19" t="s">
        <v>376</v>
      </c>
      <c r="G118" s="20" t="s">
        <v>358</v>
      </c>
      <c r="H118" s="21">
        <v>4.7</v>
      </c>
      <c r="I118" s="21">
        <v>84</v>
      </c>
      <c r="J118" s="20" t="s">
        <v>358</v>
      </c>
      <c r="K118" s="20" t="s">
        <v>610</v>
      </c>
      <c r="L118" s="21">
        <v>0.98</v>
      </c>
    </row>
    <row r="119" spans="1:12" ht="14.4">
      <c r="A119" s="21">
        <v>178</v>
      </c>
      <c r="B119" s="20" t="s">
        <v>13</v>
      </c>
      <c r="C119" s="20" t="s">
        <v>14</v>
      </c>
      <c r="D119" s="20" t="s">
        <v>377</v>
      </c>
      <c r="E119" s="21">
        <v>5224044777</v>
      </c>
      <c r="F119" s="19" t="s">
        <v>378</v>
      </c>
      <c r="G119" s="20" t="s">
        <v>358</v>
      </c>
      <c r="H119" s="21">
        <v>4.2</v>
      </c>
      <c r="I119" s="21">
        <v>11214</v>
      </c>
      <c r="J119" s="20" t="s">
        <v>358</v>
      </c>
      <c r="K119" s="20" t="s">
        <v>610</v>
      </c>
      <c r="L119" s="21">
        <v>1</v>
      </c>
    </row>
    <row r="120" spans="1:12" ht="14.4">
      <c r="A120" s="21">
        <v>179</v>
      </c>
      <c r="B120" s="20" t="s">
        <v>13</v>
      </c>
      <c r="C120" s="20" t="s">
        <v>14</v>
      </c>
      <c r="D120" s="20" t="s">
        <v>379</v>
      </c>
      <c r="E120" s="21">
        <v>5224048101</v>
      </c>
      <c r="F120" s="19" t="s">
        <v>380</v>
      </c>
      <c r="G120" s="20" t="s">
        <v>358</v>
      </c>
      <c r="H120" s="21">
        <v>4.2</v>
      </c>
      <c r="I120" s="21">
        <v>16289</v>
      </c>
      <c r="J120" s="20" t="s">
        <v>358</v>
      </c>
      <c r="K120" s="20" t="s">
        <v>610</v>
      </c>
      <c r="L120" s="21">
        <v>1</v>
      </c>
    </row>
    <row r="121" spans="1:12" ht="14.4">
      <c r="A121" s="21">
        <v>180</v>
      </c>
      <c r="B121" s="20" t="s">
        <v>13</v>
      </c>
      <c r="C121" s="20" t="s">
        <v>14</v>
      </c>
      <c r="D121" s="20" t="s">
        <v>381</v>
      </c>
      <c r="E121" s="21">
        <v>8318849521</v>
      </c>
      <c r="F121" s="19" t="s">
        <v>382</v>
      </c>
      <c r="G121" s="20" t="s">
        <v>358</v>
      </c>
      <c r="H121" s="21">
        <v>4</v>
      </c>
      <c r="I121" s="21">
        <v>625</v>
      </c>
      <c r="J121" s="20" t="s">
        <v>358</v>
      </c>
      <c r="K121" s="20" t="s">
        <v>610</v>
      </c>
      <c r="L121" s="21">
        <v>0.72</v>
      </c>
    </row>
    <row r="122" spans="1:12" ht="14.4">
      <c r="A122" s="21">
        <v>181</v>
      </c>
      <c r="B122" s="20" t="s">
        <v>13</v>
      </c>
      <c r="C122" s="20" t="s">
        <v>14</v>
      </c>
      <c r="D122" s="20" t="s">
        <v>383</v>
      </c>
      <c r="E122" s="21">
        <v>9839023902</v>
      </c>
      <c r="F122" s="19" t="s">
        <v>384</v>
      </c>
      <c r="G122" s="20" t="s">
        <v>358</v>
      </c>
      <c r="H122" s="21">
        <v>4.2</v>
      </c>
      <c r="I122" s="21">
        <v>6398</v>
      </c>
      <c r="J122" s="20" t="s">
        <v>358</v>
      </c>
      <c r="K122" s="20" t="s">
        <v>610</v>
      </c>
      <c r="L122" s="21">
        <v>1</v>
      </c>
    </row>
    <row r="123" spans="1:12" ht="14.4">
      <c r="A123" s="21">
        <v>182</v>
      </c>
      <c r="B123" s="20" t="s">
        <v>13</v>
      </c>
      <c r="C123" s="20" t="s">
        <v>14</v>
      </c>
      <c r="D123" s="20" t="s">
        <v>385</v>
      </c>
      <c r="E123" s="21">
        <v>9839397979</v>
      </c>
      <c r="F123" s="19" t="s">
        <v>386</v>
      </c>
      <c r="G123" s="20" t="s">
        <v>358</v>
      </c>
      <c r="H123" s="21">
        <v>4.4000000000000004</v>
      </c>
      <c r="I123" s="21">
        <v>2252</v>
      </c>
      <c r="J123" s="20" t="s">
        <v>358</v>
      </c>
      <c r="K123" s="20" t="s">
        <v>610</v>
      </c>
      <c r="L123" s="21">
        <v>1</v>
      </c>
    </row>
    <row r="124" spans="1:12" ht="14.4">
      <c r="A124" s="21">
        <v>183</v>
      </c>
      <c r="B124" s="20" t="s">
        <v>13</v>
      </c>
      <c r="C124" s="20" t="s">
        <v>14</v>
      </c>
      <c r="D124" s="20" t="s">
        <v>387</v>
      </c>
      <c r="E124" s="21">
        <v>6392502020</v>
      </c>
      <c r="F124" s="19" t="s">
        <v>388</v>
      </c>
      <c r="G124" s="20" t="s">
        <v>358</v>
      </c>
      <c r="H124" s="21">
        <v>4.3</v>
      </c>
      <c r="I124" s="21">
        <v>322</v>
      </c>
      <c r="J124" s="20" t="s">
        <v>358</v>
      </c>
      <c r="K124" s="20" t="s">
        <v>610</v>
      </c>
      <c r="L124" s="21">
        <v>0.97</v>
      </c>
    </row>
    <row r="125" spans="1:12" ht="14.4">
      <c r="A125" s="21">
        <v>184</v>
      </c>
      <c r="B125" s="20" t="s">
        <v>13</v>
      </c>
      <c r="C125" s="20" t="s">
        <v>14</v>
      </c>
      <c r="D125" s="20" t="s">
        <v>389</v>
      </c>
      <c r="E125" s="21">
        <v>9936438000</v>
      </c>
      <c r="F125" s="19" t="s">
        <v>390</v>
      </c>
      <c r="G125" s="20" t="s">
        <v>358</v>
      </c>
      <c r="H125" s="21">
        <v>4.0999999999999996</v>
      </c>
      <c r="I125" s="21">
        <v>9553</v>
      </c>
      <c r="J125" s="20" t="s">
        <v>358</v>
      </c>
      <c r="K125" s="20" t="s">
        <v>610</v>
      </c>
      <c r="L125" s="21">
        <v>0.96</v>
      </c>
    </row>
    <row r="126" spans="1:12" ht="14.4">
      <c r="A126" s="21">
        <v>185</v>
      </c>
      <c r="B126" s="20" t="s">
        <v>13</v>
      </c>
      <c r="C126" s="20" t="s">
        <v>14</v>
      </c>
      <c r="D126" s="20" t="s">
        <v>391</v>
      </c>
      <c r="E126" s="21">
        <v>9005770888</v>
      </c>
      <c r="F126" s="19" t="s">
        <v>392</v>
      </c>
      <c r="G126" s="20" t="s">
        <v>358</v>
      </c>
      <c r="H126" s="21">
        <v>4.3</v>
      </c>
      <c r="I126" s="21">
        <v>1291</v>
      </c>
      <c r="J126" s="20" t="s">
        <v>358</v>
      </c>
      <c r="K126" s="20" t="s">
        <v>610</v>
      </c>
      <c r="L126" s="21">
        <v>1</v>
      </c>
    </row>
    <row r="127" spans="1:12" ht="14.4">
      <c r="A127" s="21">
        <v>186</v>
      </c>
      <c r="B127" s="20" t="s">
        <v>13</v>
      </c>
      <c r="C127" s="20" t="s">
        <v>14</v>
      </c>
      <c r="D127" s="20" t="s">
        <v>393</v>
      </c>
      <c r="E127" s="21">
        <v>7800780040</v>
      </c>
      <c r="F127" s="19" t="s">
        <v>394</v>
      </c>
      <c r="G127" s="20" t="s">
        <v>358</v>
      </c>
      <c r="H127" s="21">
        <v>4.8</v>
      </c>
      <c r="I127" s="21">
        <v>10</v>
      </c>
      <c r="J127" s="20" t="s">
        <v>358</v>
      </c>
      <c r="K127" s="20" t="s">
        <v>610</v>
      </c>
      <c r="L127" s="21">
        <v>1</v>
      </c>
    </row>
    <row r="128" spans="1:12" ht="14.4">
      <c r="A128" s="21">
        <v>187</v>
      </c>
      <c r="B128" s="20" t="s">
        <v>13</v>
      </c>
      <c r="C128" s="20" t="s">
        <v>14</v>
      </c>
      <c r="D128" s="20" t="s">
        <v>395</v>
      </c>
      <c r="E128" s="21">
        <v>8957331424</v>
      </c>
      <c r="F128" s="19" t="s">
        <v>396</v>
      </c>
      <c r="G128" s="20" t="s">
        <v>358</v>
      </c>
      <c r="H128" s="21">
        <v>4.3</v>
      </c>
      <c r="I128" s="21">
        <v>1101</v>
      </c>
      <c r="J128" s="20" t="s">
        <v>358</v>
      </c>
      <c r="K128" s="20" t="s">
        <v>610</v>
      </c>
      <c r="L128" s="21">
        <v>1</v>
      </c>
    </row>
    <row r="129" spans="1:12" ht="14.4">
      <c r="A129" s="21">
        <v>188</v>
      </c>
      <c r="B129" s="20" t="s">
        <v>13</v>
      </c>
      <c r="C129" s="20" t="s">
        <v>14</v>
      </c>
      <c r="D129" s="20" t="s">
        <v>397</v>
      </c>
      <c r="E129" s="21">
        <v>8175956711</v>
      </c>
      <c r="F129" s="19" t="s">
        <v>398</v>
      </c>
      <c r="G129" s="20" t="s">
        <v>358</v>
      </c>
      <c r="H129" s="21">
        <v>4.3</v>
      </c>
      <c r="I129" s="21">
        <v>1558</v>
      </c>
      <c r="J129" s="20" t="s">
        <v>358</v>
      </c>
      <c r="K129" s="20" t="s">
        <v>610</v>
      </c>
      <c r="L129" s="21">
        <v>1</v>
      </c>
    </row>
    <row r="130" spans="1:12" ht="14.4">
      <c r="A130" s="21">
        <v>189</v>
      </c>
      <c r="B130" s="20" t="s">
        <v>13</v>
      </c>
      <c r="C130" s="20" t="s">
        <v>14</v>
      </c>
      <c r="D130" s="20" t="s">
        <v>399</v>
      </c>
      <c r="E130" s="21">
        <v>7235811114</v>
      </c>
      <c r="F130" s="19" t="s">
        <v>400</v>
      </c>
      <c r="G130" s="20" t="s">
        <v>358</v>
      </c>
      <c r="H130" s="21">
        <v>4.2</v>
      </c>
      <c r="I130" s="21">
        <v>919</v>
      </c>
      <c r="J130" s="20" t="s">
        <v>358</v>
      </c>
      <c r="K130" s="20" t="s">
        <v>610</v>
      </c>
      <c r="L130" s="21">
        <v>1</v>
      </c>
    </row>
    <row r="131" spans="1:12" ht="14.4">
      <c r="A131" s="21">
        <v>195</v>
      </c>
      <c r="B131" s="20" t="s">
        <v>13</v>
      </c>
      <c r="C131" s="20" t="s">
        <v>14</v>
      </c>
      <c r="D131" s="20" t="s">
        <v>411</v>
      </c>
      <c r="E131" s="21">
        <v>5224113801</v>
      </c>
      <c r="F131" s="19" t="s">
        <v>412</v>
      </c>
      <c r="G131" s="20" t="s">
        <v>358</v>
      </c>
      <c r="H131" s="21">
        <v>3.9</v>
      </c>
      <c r="I131" s="21">
        <v>1270</v>
      </c>
      <c r="J131" s="20" t="s">
        <v>358</v>
      </c>
      <c r="K131" s="20" t="s">
        <v>610</v>
      </c>
      <c r="L131" s="21">
        <v>0.79</v>
      </c>
    </row>
    <row r="132" spans="1:12" ht="14.4">
      <c r="A132" s="21">
        <v>196</v>
      </c>
      <c r="B132" s="20" t="s">
        <v>13</v>
      </c>
      <c r="C132" s="20" t="s">
        <v>14</v>
      </c>
      <c r="D132" s="20" t="s">
        <v>413</v>
      </c>
      <c r="E132" s="21">
        <v>7318254638</v>
      </c>
      <c r="F132" s="19" t="s">
        <v>414</v>
      </c>
      <c r="G132" s="20" t="s">
        <v>358</v>
      </c>
      <c r="H132" s="21">
        <v>4.4000000000000004</v>
      </c>
      <c r="I132" s="21">
        <v>869</v>
      </c>
      <c r="J132" s="20" t="s">
        <v>358</v>
      </c>
      <c r="K132" s="20" t="s">
        <v>610</v>
      </c>
      <c r="L132" s="21">
        <v>1</v>
      </c>
    </row>
    <row r="133" spans="1:12" ht="14.4">
      <c r="A133" s="21">
        <v>197</v>
      </c>
      <c r="B133" s="20" t="s">
        <v>13</v>
      </c>
      <c r="C133" s="20" t="s">
        <v>14</v>
      </c>
      <c r="D133" s="20" t="s">
        <v>415</v>
      </c>
      <c r="E133" s="21">
        <v>9115005777</v>
      </c>
      <c r="F133" s="19" t="s">
        <v>416</v>
      </c>
      <c r="G133" s="20" t="s">
        <v>358</v>
      </c>
      <c r="H133" s="21">
        <v>4.5</v>
      </c>
      <c r="I133" s="21">
        <v>5092</v>
      </c>
      <c r="J133" s="20" t="s">
        <v>358</v>
      </c>
      <c r="K133" s="20" t="s">
        <v>610</v>
      </c>
      <c r="L133" s="21">
        <v>1</v>
      </c>
    </row>
    <row r="134" spans="1:12" ht="14.4">
      <c r="A134" s="21">
        <v>198</v>
      </c>
      <c r="B134" s="20" t="s">
        <v>13</v>
      </c>
      <c r="C134" s="20" t="s">
        <v>14</v>
      </c>
      <c r="D134" s="20" t="s">
        <v>417</v>
      </c>
      <c r="E134" s="21">
        <v>5222620131</v>
      </c>
      <c r="F134" s="19" t="s">
        <v>418</v>
      </c>
      <c r="G134" s="20" t="s">
        <v>358</v>
      </c>
      <c r="H134" s="21">
        <v>4</v>
      </c>
      <c r="I134" s="21">
        <v>723</v>
      </c>
      <c r="J134" s="20" t="s">
        <v>358</v>
      </c>
      <c r="K134" s="20" t="s">
        <v>610</v>
      </c>
      <c r="L134" s="21">
        <v>0.71</v>
      </c>
    </row>
    <row r="135" spans="1:12" ht="14.4">
      <c r="A135" s="21">
        <v>199</v>
      </c>
      <c r="B135" s="20" t="s">
        <v>13</v>
      </c>
      <c r="C135" s="20" t="s">
        <v>14</v>
      </c>
      <c r="D135" s="20" t="s">
        <v>419</v>
      </c>
      <c r="E135" s="21">
        <v>9119603535</v>
      </c>
      <c r="F135" s="19" t="s">
        <v>420</v>
      </c>
      <c r="G135" s="20" t="s">
        <v>358</v>
      </c>
      <c r="H135" s="21">
        <v>4.0999999999999996</v>
      </c>
      <c r="I135" s="21">
        <v>1690</v>
      </c>
      <c r="J135" s="20" t="s">
        <v>358</v>
      </c>
      <c r="K135" s="20" t="s">
        <v>610</v>
      </c>
      <c r="L135" s="21">
        <v>0.95</v>
      </c>
    </row>
    <row r="136" spans="1:12" ht="14.4">
      <c r="A136" s="21">
        <v>200</v>
      </c>
      <c r="B136" s="20" t="s">
        <v>13</v>
      </c>
      <c r="C136" s="20" t="s">
        <v>14</v>
      </c>
      <c r="D136" s="20" t="s">
        <v>421</v>
      </c>
      <c r="E136" s="21">
        <v>9793115487</v>
      </c>
      <c r="F136" s="19" t="s">
        <v>422</v>
      </c>
      <c r="G136" s="20" t="s">
        <v>213</v>
      </c>
      <c r="H136" s="21">
        <v>4.2</v>
      </c>
      <c r="I136" s="21">
        <v>245</v>
      </c>
      <c r="J136" s="20" t="s">
        <v>213</v>
      </c>
      <c r="K136" s="20" t="s">
        <v>610</v>
      </c>
      <c r="L136" s="21">
        <v>0.89</v>
      </c>
    </row>
    <row r="137" spans="1:12" ht="14.4">
      <c r="A137" s="21">
        <v>201</v>
      </c>
      <c r="B137" s="20" t="s">
        <v>13</v>
      </c>
      <c r="C137" s="20" t="s">
        <v>14</v>
      </c>
      <c r="D137" s="20" t="s">
        <v>423</v>
      </c>
      <c r="E137" s="21">
        <v>8318527077</v>
      </c>
      <c r="F137" s="19" t="s">
        <v>424</v>
      </c>
      <c r="G137" s="20" t="s">
        <v>213</v>
      </c>
      <c r="H137" s="21">
        <v>4.4000000000000004</v>
      </c>
      <c r="I137" s="21">
        <v>631</v>
      </c>
      <c r="J137" s="20" t="s">
        <v>213</v>
      </c>
      <c r="K137" s="20" t="s">
        <v>610</v>
      </c>
      <c r="L137" s="21">
        <v>0.96</v>
      </c>
    </row>
    <row r="138" spans="1:12" ht="14.4">
      <c r="A138" s="21">
        <v>202</v>
      </c>
      <c r="B138" s="20" t="s">
        <v>13</v>
      </c>
      <c r="C138" s="20" t="s">
        <v>14</v>
      </c>
      <c r="D138" s="20" t="s">
        <v>425</v>
      </c>
      <c r="E138" s="21">
        <v>5224072223</v>
      </c>
      <c r="F138" s="19" t="s">
        <v>426</v>
      </c>
      <c r="G138" s="20" t="s">
        <v>213</v>
      </c>
      <c r="H138" s="21">
        <v>4.0999999999999996</v>
      </c>
      <c r="I138" s="21">
        <v>910</v>
      </c>
      <c r="J138" s="20" t="s">
        <v>213</v>
      </c>
      <c r="K138" s="20" t="s">
        <v>610</v>
      </c>
      <c r="L138" s="21">
        <v>0.86</v>
      </c>
    </row>
    <row r="139" spans="1:12" ht="14.4">
      <c r="A139" s="21">
        <v>203</v>
      </c>
      <c r="B139" s="20" t="s">
        <v>13</v>
      </c>
      <c r="C139" s="20" t="s">
        <v>14</v>
      </c>
      <c r="D139" s="20" t="s">
        <v>427</v>
      </c>
      <c r="E139" s="21">
        <v>8182875927</v>
      </c>
      <c r="F139" s="19" t="s">
        <v>428</v>
      </c>
      <c r="G139" s="20" t="s">
        <v>213</v>
      </c>
      <c r="H139" s="21">
        <v>4.2</v>
      </c>
      <c r="I139" s="21">
        <v>825</v>
      </c>
      <c r="J139" s="20" t="s">
        <v>213</v>
      </c>
      <c r="K139" s="20" t="s">
        <v>610</v>
      </c>
      <c r="L139" s="21">
        <v>1</v>
      </c>
    </row>
    <row r="140" spans="1:12" ht="14.4">
      <c r="A140" s="21">
        <v>204</v>
      </c>
      <c r="B140" s="20" t="s">
        <v>13</v>
      </c>
      <c r="C140" s="20" t="s">
        <v>14</v>
      </c>
      <c r="D140" s="20" t="s">
        <v>429</v>
      </c>
      <c r="E140" s="21">
        <v>9235555780</v>
      </c>
      <c r="F140" s="19" t="s">
        <v>430</v>
      </c>
      <c r="G140" s="20" t="s">
        <v>213</v>
      </c>
      <c r="H140" s="21">
        <v>4</v>
      </c>
      <c r="I140" s="21">
        <v>2175</v>
      </c>
      <c r="J140" s="20" t="s">
        <v>213</v>
      </c>
      <c r="K140" s="20" t="s">
        <v>610</v>
      </c>
      <c r="L140" s="21">
        <v>0.98</v>
      </c>
    </row>
    <row r="141" spans="1:12" ht="14.4">
      <c r="A141" s="21">
        <v>205</v>
      </c>
      <c r="B141" s="20" t="s">
        <v>13</v>
      </c>
      <c r="C141" s="20" t="s">
        <v>14</v>
      </c>
      <c r="D141" s="20" t="s">
        <v>431</v>
      </c>
      <c r="E141" s="21">
        <v>9559898355</v>
      </c>
      <c r="F141" s="19" t="s">
        <v>432</v>
      </c>
      <c r="G141" s="20" t="s">
        <v>213</v>
      </c>
      <c r="H141" s="21">
        <v>4</v>
      </c>
      <c r="I141" s="21">
        <v>36</v>
      </c>
      <c r="J141" s="20" t="s">
        <v>213</v>
      </c>
      <c r="K141" s="20" t="s">
        <v>610</v>
      </c>
      <c r="L141" s="21">
        <v>0.95</v>
      </c>
    </row>
    <row r="142" spans="1:12" ht="14.4">
      <c r="A142" s="21">
        <v>206</v>
      </c>
      <c r="B142" s="20" t="s">
        <v>13</v>
      </c>
      <c r="C142" s="20" t="s">
        <v>14</v>
      </c>
      <c r="D142" s="20" t="s">
        <v>433</v>
      </c>
      <c r="E142" s="21">
        <v>5224101530</v>
      </c>
      <c r="F142" s="19" t="s">
        <v>434</v>
      </c>
      <c r="G142" s="20" t="s">
        <v>213</v>
      </c>
      <c r="H142" s="21">
        <v>4.0999999999999996</v>
      </c>
      <c r="I142" s="21">
        <v>1148</v>
      </c>
      <c r="J142" s="20" t="s">
        <v>213</v>
      </c>
      <c r="K142" s="20" t="s">
        <v>610</v>
      </c>
      <c r="L142" s="21">
        <v>0.93</v>
      </c>
    </row>
    <row r="143" spans="1:12" ht="14.4">
      <c r="A143" s="21">
        <v>207</v>
      </c>
      <c r="B143" s="20" t="s">
        <v>13</v>
      </c>
      <c r="C143" s="20" t="s">
        <v>14</v>
      </c>
      <c r="D143" s="20" t="s">
        <v>435</v>
      </c>
      <c r="E143" s="21">
        <v>7523868301</v>
      </c>
      <c r="F143" s="19" t="s">
        <v>436</v>
      </c>
      <c r="G143" s="20" t="s">
        <v>213</v>
      </c>
      <c r="H143" s="21">
        <v>4.4000000000000004</v>
      </c>
      <c r="I143" s="21">
        <v>8497</v>
      </c>
      <c r="J143" s="20" t="s">
        <v>213</v>
      </c>
      <c r="K143" s="20" t="s">
        <v>610</v>
      </c>
      <c r="L143" s="21">
        <v>1</v>
      </c>
    </row>
    <row r="144" spans="1:12" ht="14.4">
      <c r="A144" s="21">
        <v>208</v>
      </c>
      <c r="B144" s="20" t="s">
        <v>13</v>
      </c>
      <c r="C144" s="20" t="s">
        <v>14</v>
      </c>
      <c r="D144" s="20" t="s">
        <v>437</v>
      </c>
      <c r="E144" s="21">
        <v>9219906262</v>
      </c>
      <c r="F144" s="19" t="s">
        <v>438</v>
      </c>
      <c r="G144" s="20" t="s">
        <v>213</v>
      </c>
      <c r="H144" s="21">
        <v>4.2</v>
      </c>
      <c r="I144" s="21">
        <v>260</v>
      </c>
      <c r="J144" s="20" t="s">
        <v>213</v>
      </c>
      <c r="K144" s="20" t="s">
        <v>610</v>
      </c>
      <c r="L144" s="21">
        <v>0.89</v>
      </c>
    </row>
    <row r="145" spans="1:12" ht="14.4">
      <c r="A145" s="21">
        <v>209</v>
      </c>
      <c r="B145" s="20" t="s">
        <v>13</v>
      </c>
      <c r="C145" s="20" t="s">
        <v>14</v>
      </c>
      <c r="D145" s="20" t="s">
        <v>439</v>
      </c>
      <c r="E145" s="21">
        <v>9565553111</v>
      </c>
      <c r="F145" s="19" t="s">
        <v>440</v>
      </c>
      <c r="G145" s="20" t="s">
        <v>213</v>
      </c>
      <c r="H145" s="21">
        <v>3.8</v>
      </c>
      <c r="I145" s="21">
        <v>60</v>
      </c>
      <c r="J145" s="20" t="s">
        <v>213</v>
      </c>
      <c r="K145" s="20" t="s">
        <v>610</v>
      </c>
      <c r="L145" s="21">
        <v>0.49</v>
      </c>
    </row>
    <row r="146" spans="1:12" ht="14.4">
      <c r="A146" s="21">
        <v>215</v>
      </c>
      <c r="B146" s="20" t="s">
        <v>13</v>
      </c>
      <c r="C146" s="20" t="s">
        <v>14</v>
      </c>
      <c r="D146" s="20" t="s">
        <v>441</v>
      </c>
      <c r="E146" s="21">
        <v>9235604275</v>
      </c>
      <c r="F146" s="19" t="s">
        <v>442</v>
      </c>
      <c r="G146" s="20" t="s">
        <v>213</v>
      </c>
      <c r="H146" s="21">
        <v>4.2</v>
      </c>
      <c r="I146" s="21">
        <v>9</v>
      </c>
      <c r="J146" s="20" t="s">
        <v>213</v>
      </c>
      <c r="K146" s="20" t="s">
        <v>610</v>
      </c>
      <c r="L146" s="21">
        <v>0.94</v>
      </c>
    </row>
    <row r="147" spans="1:12" ht="14.4">
      <c r="A147" s="21">
        <v>216</v>
      </c>
      <c r="B147" s="20" t="s">
        <v>13</v>
      </c>
      <c r="C147" s="20" t="s">
        <v>14</v>
      </c>
      <c r="D147" s="20" t="s">
        <v>443</v>
      </c>
      <c r="E147" s="21">
        <v>8097482510</v>
      </c>
      <c r="F147" s="19" t="s">
        <v>444</v>
      </c>
      <c r="G147" s="20" t="s">
        <v>213</v>
      </c>
      <c r="H147" s="21">
        <v>4.3</v>
      </c>
      <c r="I147" s="21">
        <v>31</v>
      </c>
      <c r="J147" s="20" t="s">
        <v>213</v>
      </c>
      <c r="K147" s="20" t="s">
        <v>610</v>
      </c>
      <c r="L147" s="21">
        <v>1</v>
      </c>
    </row>
    <row r="148" spans="1:12" ht="14.4">
      <c r="A148" s="21">
        <v>217</v>
      </c>
      <c r="B148" s="20" t="s">
        <v>13</v>
      </c>
      <c r="C148" s="20" t="s">
        <v>14</v>
      </c>
      <c r="D148" s="20" t="s">
        <v>445</v>
      </c>
      <c r="E148" s="21">
        <v>9839034133</v>
      </c>
      <c r="F148" s="19" t="s">
        <v>446</v>
      </c>
      <c r="G148" s="20" t="s">
        <v>213</v>
      </c>
      <c r="H148" s="21">
        <v>4</v>
      </c>
      <c r="I148" s="21">
        <v>36</v>
      </c>
      <c r="J148" s="20" t="s">
        <v>213</v>
      </c>
      <c r="K148" s="20" t="s">
        <v>610</v>
      </c>
      <c r="L148" s="21">
        <v>0.95</v>
      </c>
    </row>
    <row r="149" spans="1:12" ht="14.4">
      <c r="A149" s="21">
        <v>218</v>
      </c>
      <c r="B149" s="20" t="s">
        <v>13</v>
      </c>
      <c r="C149" s="20" t="s">
        <v>14</v>
      </c>
      <c r="D149" s="20" t="s">
        <v>447</v>
      </c>
      <c r="E149" s="21">
        <v>8840136926</v>
      </c>
      <c r="F149" s="19" t="s">
        <v>448</v>
      </c>
      <c r="G149" s="20" t="s">
        <v>213</v>
      </c>
      <c r="H149" s="21">
        <v>4.8</v>
      </c>
      <c r="I149" s="21">
        <v>22</v>
      </c>
      <c r="J149" s="20" t="s">
        <v>213</v>
      </c>
      <c r="K149" s="20" t="s">
        <v>610</v>
      </c>
      <c r="L149" s="21">
        <v>1</v>
      </c>
    </row>
    <row r="150" spans="1:12" ht="14.4">
      <c r="A150" s="21">
        <v>219</v>
      </c>
      <c r="B150" s="20" t="s">
        <v>13</v>
      </c>
      <c r="C150" s="20" t="s">
        <v>14</v>
      </c>
      <c r="D150" s="20" t="s">
        <v>449</v>
      </c>
      <c r="E150" s="21">
        <v>9839018384</v>
      </c>
      <c r="F150" s="19" t="s">
        <v>450</v>
      </c>
      <c r="G150" s="20" t="s">
        <v>213</v>
      </c>
      <c r="H150" s="21">
        <v>3.8</v>
      </c>
      <c r="I150" s="21">
        <v>219</v>
      </c>
      <c r="J150" s="20" t="s">
        <v>213</v>
      </c>
      <c r="K150" s="20" t="s">
        <v>610</v>
      </c>
      <c r="L150" s="21">
        <v>0.98</v>
      </c>
    </row>
    <row r="151" spans="1:12" ht="14.4">
      <c r="A151" s="21">
        <v>220</v>
      </c>
      <c r="B151" s="20" t="s">
        <v>13</v>
      </c>
      <c r="C151" s="20" t="s">
        <v>14</v>
      </c>
      <c r="D151" s="20" t="s">
        <v>451</v>
      </c>
      <c r="E151" s="21">
        <v>5224010785</v>
      </c>
      <c r="F151" s="19" t="s">
        <v>452</v>
      </c>
      <c r="G151" s="20" t="s">
        <v>213</v>
      </c>
      <c r="H151" s="21">
        <v>3.8</v>
      </c>
      <c r="I151" s="21">
        <v>151</v>
      </c>
      <c r="J151" s="20" t="s">
        <v>213</v>
      </c>
      <c r="K151" s="20" t="s">
        <v>610</v>
      </c>
      <c r="L151" s="21">
        <v>0.93</v>
      </c>
    </row>
    <row r="152" spans="1:12" ht="14.4">
      <c r="A152" s="21">
        <v>221</v>
      </c>
      <c r="B152" s="20" t="s">
        <v>13</v>
      </c>
      <c r="C152" s="20" t="s">
        <v>14</v>
      </c>
      <c r="D152" s="20" t="s">
        <v>453</v>
      </c>
      <c r="E152" s="21">
        <v>7985938863</v>
      </c>
      <c r="F152" s="19" t="s">
        <v>454</v>
      </c>
      <c r="G152" s="20" t="s">
        <v>213</v>
      </c>
      <c r="H152" s="21">
        <v>4.3</v>
      </c>
      <c r="I152" s="21">
        <v>36</v>
      </c>
      <c r="J152" s="20" t="s">
        <v>213</v>
      </c>
      <c r="K152" s="20" t="s">
        <v>610</v>
      </c>
      <c r="L152" s="21">
        <v>1</v>
      </c>
    </row>
    <row r="153" spans="1:12" ht="14.4">
      <c r="A153" s="21">
        <v>222</v>
      </c>
      <c r="B153" s="20" t="s">
        <v>13</v>
      </c>
      <c r="C153" s="20" t="s">
        <v>14</v>
      </c>
      <c r="D153" s="20" t="s">
        <v>455</v>
      </c>
      <c r="E153" s="21">
        <v>6351721810</v>
      </c>
      <c r="F153" s="19" t="s">
        <v>456</v>
      </c>
      <c r="G153" s="20" t="s">
        <v>213</v>
      </c>
      <c r="H153" s="21">
        <v>5</v>
      </c>
      <c r="I153" s="21">
        <v>6</v>
      </c>
      <c r="J153" s="20" t="s">
        <v>213</v>
      </c>
      <c r="K153" s="20" t="s">
        <v>610</v>
      </c>
      <c r="L153" s="21">
        <v>1</v>
      </c>
    </row>
    <row r="154" spans="1:12" ht="14.4">
      <c r="A154" s="21">
        <v>223</v>
      </c>
      <c r="B154" s="20" t="s">
        <v>13</v>
      </c>
      <c r="C154" s="20" t="s">
        <v>14</v>
      </c>
      <c r="D154" s="20" t="s">
        <v>457</v>
      </c>
      <c r="E154" s="21">
        <v>9889889371</v>
      </c>
      <c r="F154" s="19" t="s">
        <v>458</v>
      </c>
      <c r="G154" s="20" t="s">
        <v>213</v>
      </c>
      <c r="H154" s="21">
        <v>4.2</v>
      </c>
      <c r="I154" s="21">
        <v>39</v>
      </c>
      <c r="J154" s="20" t="s">
        <v>213</v>
      </c>
      <c r="K154" s="20" t="s">
        <v>610</v>
      </c>
      <c r="L154" s="21">
        <v>0.94</v>
      </c>
    </row>
    <row r="155" spans="1:12" ht="14.4">
      <c r="A155" s="21">
        <v>224</v>
      </c>
      <c r="B155" s="20" t="s">
        <v>13</v>
      </c>
      <c r="C155" s="20" t="s">
        <v>14</v>
      </c>
      <c r="D155" s="20" t="s">
        <v>459</v>
      </c>
      <c r="E155" s="21">
        <v>7007026220</v>
      </c>
      <c r="F155" s="19" t="s">
        <v>460</v>
      </c>
      <c r="G155" s="20" t="s">
        <v>213</v>
      </c>
      <c r="H155" s="21">
        <v>5</v>
      </c>
      <c r="I155" s="21">
        <v>4</v>
      </c>
      <c r="J155" s="20" t="s">
        <v>213</v>
      </c>
      <c r="K155" s="20" t="s">
        <v>610</v>
      </c>
      <c r="L155" s="21">
        <v>1</v>
      </c>
    </row>
    <row r="156" spans="1:12" ht="14.4">
      <c r="A156" s="21">
        <v>225</v>
      </c>
      <c r="B156" s="20" t="s">
        <v>13</v>
      </c>
      <c r="C156" s="20" t="s">
        <v>14</v>
      </c>
      <c r="D156" s="20" t="s">
        <v>461</v>
      </c>
      <c r="E156" s="21">
        <v>9336704363</v>
      </c>
      <c r="F156" s="19" t="s">
        <v>462</v>
      </c>
      <c r="G156" s="20" t="s">
        <v>213</v>
      </c>
      <c r="H156" s="21">
        <v>3.9</v>
      </c>
      <c r="I156" s="21">
        <v>34</v>
      </c>
      <c r="J156" s="20" t="s">
        <v>213</v>
      </c>
      <c r="K156" s="20" t="s">
        <v>610</v>
      </c>
      <c r="L156" s="21">
        <v>0.91</v>
      </c>
    </row>
    <row r="157" spans="1:12" ht="14.4">
      <c r="A157" s="21">
        <v>226</v>
      </c>
      <c r="B157" s="20" t="s">
        <v>13</v>
      </c>
      <c r="C157" s="20" t="s">
        <v>14</v>
      </c>
      <c r="D157" s="20" t="s">
        <v>463</v>
      </c>
      <c r="E157" s="21">
        <v>7052646764</v>
      </c>
      <c r="F157" s="19" t="s">
        <v>464</v>
      </c>
      <c r="G157" s="20" t="s">
        <v>213</v>
      </c>
      <c r="H157" s="21">
        <v>3.7</v>
      </c>
      <c r="I157" s="21">
        <v>24</v>
      </c>
      <c r="J157" s="20" t="s">
        <v>213</v>
      </c>
      <c r="K157" s="20" t="s">
        <v>610</v>
      </c>
      <c r="L157" s="21">
        <v>1</v>
      </c>
    </row>
    <row r="158" spans="1:12" ht="14.4">
      <c r="A158" s="21">
        <v>227</v>
      </c>
      <c r="B158" s="20" t="s">
        <v>13</v>
      </c>
      <c r="C158" s="20" t="s">
        <v>14</v>
      </c>
      <c r="D158" s="20" t="s">
        <v>465</v>
      </c>
      <c r="E158" s="21">
        <v>9621454399</v>
      </c>
      <c r="F158" s="19" t="s">
        <v>466</v>
      </c>
      <c r="G158" s="20" t="s">
        <v>213</v>
      </c>
      <c r="H158" s="21">
        <v>5</v>
      </c>
      <c r="I158" s="21">
        <v>3</v>
      </c>
      <c r="J158" s="20" t="s">
        <v>213</v>
      </c>
      <c r="K158" s="20" t="s">
        <v>610</v>
      </c>
      <c r="L158" s="21">
        <v>0.98</v>
      </c>
    </row>
    <row r="159" spans="1:12" ht="14.4">
      <c r="A159" s="21">
        <v>228</v>
      </c>
      <c r="B159" s="20" t="s">
        <v>13</v>
      </c>
      <c r="C159" s="20" t="s">
        <v>14</v>
      </c>
      <c r="D159" s="20" t="s">
        <v>467</v>
      </c>
      <c r="E159" s="21">
        <v>8545052079</v>
      </c>
      <c r="F159" s="19" t="s">
        <v>468</v>
      </c>
      <c r="G159" s="20" t="s">
        <v>213</v>
      </c>
      <c r="H159" s="21">
        <v>5</v>
      </c>
      <c r="I159" s="21">
        <v>1</v>
      </c>
      <c r="J159" s="20" t="s">
        <v>213</v>
      </c>
      <c r="K159" s="20" t="s">
        <v>610</v>
      </c>
      <c r="L159" s="21">
        <v>1</v>
      </c>
    </row>
    <row r="160" spans="1:12" ht="14.4">
      <c r="A160" s="21">
        <v>229</v>
      </c>
      <c r="B160" s="20" t="s">
        <v>13</v>
      </c>
      <c r="C160" s="20" t="s">
        <v>14</v>
      </c>
      <c r="D160" s="20" t="s">
        <v>469</v>
      </c>
      <c r="E160" s="21">
        <v>9889646222</v>
      </c>
      <c r="F160" s="19" t="s">
        <v>470</v>
      </c>
      <c r="G160" s="20" t="s">
        <v>213</v>
      </c>
      <c r="H160" s="21">
        <v>4.9000000000000004</v>
      </c>
      <c r="I160" s="21">
        <v>12</v>
      </c>
      <c r="J160" s="20" t="s">
        <v>213</v>
      </c>
      <c r="K160" s="20" t="s">
        <v>610</v>
      </c>
      <c r="L160" s="21">
        <v>1</v>
      </c>
    </row>
    <row r="161" spans="1:12" ht="14.4">
      <c r="A161" s="21">
        <v>235</v>
      </c>
      <c r="B161" s="20" t="s">
        <v>13</v>
      </c>
      <c r="C161" s="20" t="s">
        <v>481</v>
      </c>
      <c r="D161" s="20" t="s">
        <v>482</v>
      </c>
      <c r="E161" s="21">
        <v>8578809997</v>
      </c>
      <c r="F161" s="19" t="s">
        <v>483</v>
      </c>
      <c r="G161" s="20" t="s">
        <v>61</v>
      </c>
      <c r="H161" s="21">
        <v>3.9</v>
      </c>
      <c r="I161" s="21">
        <v>44</v>
      </c>
      <c r="J161" s="20" t="s">
        <v>61</v>
      </c>
      <c r="K161" s="20" t="s">
        <v>610</v>
      </c>
      <c r="L161" s="21">
        <v>0.97</v>
      </c>
    </row>
    <row r="162" spans="1:12" ht="14.4">
      <c r="A162" s="21">
        <v>236</v>
      </c>
      <c r="B162" s="20" t="s">
        <v>13</v>
      </c>
      <c r="C162" s="20" t="s">
        <v>481</v>
      </c>
      <c r="D162" s="20" t="s">
        <v>484</v>
      </c>
      <c r="E162" s="21">
        <v>9386063660</v>
      </c>
      <c r="F162" s="19" t="s">
        <v>485</v>
      </c>
      <c r="G162" s="20" t="s">
        <v>61</v>
      </c>
      <c r="H162" s="21">
        <v>4.3</v>
      </c>
      <c r="I162" s="21">
        <v>7</v>
      </c>
      <c r="J162" s="20" t="s">
        <v>61</v>
      </c>
      <c r="K162" s="20" t="s">
        <v>610</v>
      </c>
      <c r="L162" s="21">
        <v>0.93</v>
      </c>
    </row>
    <row r="163" spans="1:12" ht="14.4">
      <c r="A163" s="21">
        <v>237</v>
      </c>
      <c r="B163" s="20" t="s">
        <v>13</v>
      </c>
      <c r="C163" s="20" t="s">
        <v>481</v>
      </c>
      <c r="D163" s="20" t="s">
        <v>611</v>
      </c>
      <c r="E163" s="21">
        <v>9934802080</v>
      </c>
      <c r="F163" s="19" t="s">
        <v>487</v>
      </c>
      <c r="G163" s="20" t="s">
        <v>61</v>
      </c>
      <c r="H163" s="21">
        <v>4.3</v>
      </c>
      <c r="I163" s="21">
        <v>28</v>
      </c>
      <c r="J163" s="20" t="s">
        <v>61</v>
      </c>
      <c r="K163" s="20" t="s">
        <v>610</v>
      </c>
      <c r="L163" s="21">
        <v>0.95</v>
      </c>
    </row>
    <row r="164" spans="1:12" ht="14.4">
      <c r="A164" s="21">
        <v>238</v>
      </c>
      <c r="B164" s="20" t="s">
        <v>13</v>
      </c>
      <c r="C164" s="20" t="s">
        <v>481</v>
      </c>
      <c r="D164" s="20" t="s">
        <v>488</v>
      </c>
      <c r="E164" s="21">
        <v>9334299958</v>
      </c>
      <c r="F164" s="19" t="s">
        <v>489</v>
      </c>
      <c r="G164" s="20" t="s">
        <v>61</v>
      </c>
      <c r="H164" s="21">
        <v>5</v>
      </c>
      <c r="I164" s="21">
        <v>23</v>
      </c>
      <c r="J164" s="20" t="s">
        <v>61</v>
      </c>
      <c r="K164" s="20" t="s">
        <v>610</v>
      </c>
      <c r="L164" s="21">
        <v>0.99</v>
      </c>
    </row>
    <row r="165" spans="1:12" ht="14.4">
      <c r="A165" s="21">
        <v>239</v>
      </c>
      <c r="B165" s="20" t="s">
        <v>13</v>
      </c>
      <c r="C165" s="20" t="s">
        <v>481</v>
      </c>
      <c r="D165" s="20" t="s">
        <v>490</v>
      </c>
      <c r="E165" s="21">
        <v>9304289891</v>
      </c>
      <c r="F165" s="19" t="s">
        <v>491</v>
      </c>
      <c r="G165" s="20" t="s">
        <v>61</v>
      </c>
      <c r="H165" s="21">
        <v>3.9</v>
      </c>
      <c r="I165" s="21">
        <v>21</v>
      </c>
      <c r="J165" s="20" t="s">
        <v>61</v>
      </c>
      <c r="K165" s="20" t="s">
        <v>610</v>
      </c>
      <c r="L165" s="21">
        <v>1</v>
      </c>
    </row>
    <row r="166" spans="1:12" ht="14.4">
      <c r="A166" s="21">
        <v>240</v>
      </c>
      <c r="B166" s="20" t="s">
        <v>13</v>
      </c>
      <c r="C166" s="20" t="s">
        <v>481</v>
      </c>
      <c r="D166" s="20" t="s">
        <v>492</v>
      </c>
      <c r="E166" s="21">
        <v>8084540455</v>
      </c>
      <c r="F166" s="19" t="s">
        <v>493</v>
      </c>
      <c r="G166" s="20" t="s">
        <v>61</v>
      </c>
      <c r="H166" s="21">
        <v>4.5</v>
      </c>
      <c r="I166" s="21">
        <v>21</v>
      </c>
      <c r="J166" s="20" t="s">
        <v>61</v>
      </c>
      <c r="K166" s="20" t="s">
        <v>610</v>
      </c>
      <c r="L166" s="21">
        <v>1</v>
      </c>
    </row>
    <row r="167" spans="1:12" ht="14.4">
      <c r="A167" s="21">
        <v>241</v>
      </c>
      <c r="B167" s="20" t="s">
        <v>13</v>
      </c>
      <c r="C167" s="20" t="s">
        <v>481</v>
      </c>
      <c r="D167" s="20" t="s">
        <v>494</v>
      </c>
      <c r="E167" s="21">
        <v>8102224151</v>
      </c>
      <c r="F167" s="19" t="s">
        <v>495</v>
      </c>
      <c r="G167" s="20" t="s">
        <v>61</v>
      </c>
      <c r="H167" s="21">
        <v>4.3</v>
      </c>
      <c r="I167" s="21">
        <v>18</v>
      </c>
      <c r="J167" s="20" t="s">
        <v>61</v>
      </c>
      <c r="K167" s="20" t="s">
        <v>610</v>
      </c>
      <c r="L167" s="21">
        <v>0.97</v>
      </c>
    </row>
    <row r="168" spans="1:12" ht="14.4">
      <c r="A168" s="21">
        <v>242</v>
      </c>
      <c r="B168" s="20" t="s">
        <v>13</v>
      </c>
      <c r="C168" s="20" t="s">
        <v>481</v>
      </c>
      <c r="D168" s="20" t="s">
        <v>496</v>
      </c>
      <c r="E168" s="21">
        <v>9939250484</v>
      </c>
      <c r="F168" s="19" t="s">
        <v>497</v>
      </c>
      <c r="G168" s="20" t="s">
        <v>61</v>
      </c>
      <c r="H168" s="21">
        <v>4.8</v>
      </c>
      <c r="I168" s="21">
        <v>9</v>
      </c>
      <c r="J168" s="20" t="s">
        <v>61</v>
      </c>
      <c r="K168" s="20" t="s">
        <v>610</v>
      </c>
      <c r="L168" s="21">
        <v>0.99</v>
      </c>
    </row>
    <row r="169" spans="1:12" ht="14.4">
      <c r="A169" s="21">
        <v>243</v>
      </c>
      <c r="B169" s="20" t="s">
        <v>13</v>
      </c>
      <c r="C169" s="20" t="s">
        <v>481</v>
      </c>
      <c r="D169" s="20" t="s">
        <v>498</v>
      </c>
      <c r="E169" s="21">
        <v>9835286712</v>
      </c>
      <c r="F169" s="19" t="s">
        <v>499</v>
      </c>
      <c r="G169" s="20" t="s">
        <v>61</v>
      </c>
      <c r="H169" s="21">
        <v>4.5999999999999996</v>
      </c>
      <c r="I169" s="21">
        <v>5</v>
      </c>
      <c r="J169" s="20" t="s">
        <v>61</v>
      </c>
      <c r="K169" s="20" t="s">
        <v>610</v>
      </c>
      <c r="L169" s="21">
        <v>0.73</v>
      </c>
    </row>
    <row r="170" spans="1:12" ht="14.4">
      <c r="A170" s="21">
        <v>244</v>
      </c>
      <c r="B170" s="20" t="s">
        <v>13</v>
      </c>
      <c r="C170" s="20" t="s">
        <v>481</v>
      </c>
      <c r="D170" s="20" t="s">
        <v>500</v>
      </c>
      <c r="E170" s="21">
        <v>6122281025</v>
      </c>
      <c r="F170" s="19" t="s">
        <v>501</v>
      </c>
      <c r="G170" s="20" t="s">
        <v>61</v>
      </c>
      <c r="H170" s="21">
        <v>4</v>
      </c>
      <c r="I170" s="21">
        <v>11</v>
      </c>
      <c r="J170" s="20" t="s">
        <v>61</v>
      </c>
      <c r="K170" s="20" t="s">
        <v>610</v>
      </c>
      <c r="L170" s="21">
        <v>0.99</v>
      </c>
    </row>
    <row r="171" spans="1:12" ht="14.4">
      <c r="A171" s="21">
        <v>245</v>
      </c>
      <c r="B171" s="20" t="s">
        <v>13</v>
      </c>
      <c r="C171" s="20" t="s">
        <v>481</v>
      </c>
      <c r="D171" s="20" t="s">
        <v>502</v>
      </c>
      <c r="E171" s="21">
        <v>9608245629</v>
      </c>
      <c r="F171" s="19" t="s">
        <v>503</v>
      </c>
      <c r="G171" s="20" t="s">
        <v>61</v>
      </c>
      <c r="H171" s="21">
        <v>4</v>
      </c>
      <c r="I171" s="21">
        <v>6</v>
      </c>
      <c r="J171" s="20" t="s">
        <v>61</v>
      </c>
      <c r="K171" s="20" t="s">
        <v>610</v>
      </c>
      <c r="L171" s="21">
        <v>1</v>
      </c>
    </row>
    <row r="172" spans="1:12" ht="14.4">
      <c r="A172" s="21">
        <v>246</v>
      </c>
      <c r="B172" s="20" t="s">
        <v>13</v>
      </c>
      <c r="C172" s="20" t="s">
        <v>481</v>
      </c>
      <c r="D172" s="20" t="s">
        <v>504</v>
      </c>
      <c r="E172" s="21">
        <v>9113305192</v>
      </c>
      <c r="F172" s="19" t="s">
        <v>505</v>
      </c>
      <c r="G172" s="20" t="s">
        <v>61</v>
      </c>
      <c r="H172" s="21">
        <v>4.7</v>
      </c>
      <c r="I172" s="21">
        <v>3</v>
      </c>
      <c r="J172" s="20" t="s">
        <v>61</v>
      </c>
      <c r="K172" s="20" t="s">
        <v>610</v>
      </c>
      <c r="L172" s="21">
        <v>0.93</v>
      </c>
    </row>
    <row r="173" spans="1:12" ht="14.4">
      <c r="A173" s="21">
        <v>247</v>
      </c>
      <c r="B173" s="20" t="s">
        <v>13</v>
      </c>
      <c r="C173" s="20" t="s">
        <v>481</v>
      </c>
      <c r="D173" s="20" t="s">
        <v>506</v>
      </c>
      <c r="E173" s="21">
        <v>7004996603</v>
      </c>
      <c r="F173" s="19" t="s">
        <v>507</v>
      </c>
      <c r="G173" s="20" t="s">
        <v>61</v>
      </c>
      <c r="H173" s="21">
        <v>3.8</v>
      </c>
      <c r="I173" s="21">
        <v>56</v>
      </c>
      <c r="J173" s="20" t="s">
        <v>61</v>
      </c>
      <c r="K173" s="20" t="s">
        <v>610</v>
      </c>
      <c r="L173" s="21">
        <v>0.91</v>
      </c>
    </row>
    <row r="174" spans="1:12" ht="14.4">
      <c r="A174" s="21">
        <v>248</v>
      </c>
      <c r="B174" s="20" t="s">
        <v>13</v>
      </c>
      <c r="C174" s="20" t="s">
        <v>481</v>
      </c>
      <c r="D174" s="20" t="s">
        <v>508</v>
      </c>
      <c r="E174" s="21">
        <v>9386803691</v>
      </c>
      <c r="F174" s="19" t="s">
        <v>509</v>
      </c>
      <c r="G174" s="20" t="s">
        <v>61</v>
      </c>
      <c r="H174" s="21">
        <v>4</v>
      </c>
      <c r="I174" s="21">
        <v>8</v>
      </c>
      <c r="J174" s="20" t="s">
        <v>61</v>
      </c>
      <c r="K174" s="20" t="s">
        <v>610</v>
      </c>
      <c r="L174" s="21">
        <v>1</v>
      </c>
    </row>
    <row r="175" spans="1:12" ht="14.4">
      <c r="A175" s="21">
        <v>249</v>
      </c>
      <c r="B175" s="20" t="s">
        <v>13</v>
      </c>
      <c r="C175" s="20" t="s">
        <v>481</v>
      </c>
      <c r="D175" s="20" t="s">
        <v>510</v>
      </c>
      <c r="E175" s="21">
        <v>9801835490</v>
      </c>
      <c r="F175" s="19" t="s">
        <v>511</v>
      </c>
      <c r="G175" s="20" t="s">
        <v>61</v>
      </c>
      <c r="H175" s="21">
        <v>3.9</v>
      </c>
      <c r="I175" s="21">
        <v>18</v>
      </c>
      <c r="J175" s="20" t="s">
        <v>61</v>
      </c>
      <c r="K175" s="20" t="s">
        <v>610</v>
      </c>
      <c r="L175" s="21">
        <v>1</v>
      </c>
    </row>
    <row r="176" spans="1:12" ht="14.4">
      <c r="A176" s="21">
        <v>255</v>
      </c>
      <c r="B176" s="20" t="s">
        <v>13</v>
      </c>
      <c r="C176" s="20" t="s">
        <v>481</v>
      </c>
      <c r="D176" s="20" t="s">
        <v>522</v>
      </c>
      <c r="E176" s="21">
        <v>9304398435</v>
      </c>
      <c r="F176" s="19" t="s">
        <v>523</v>
      </c>
      <c r="G176" s="20" t="s">
        <v>61</v>
      </c>
      <c r="H176" s="21">
        <v>5</v>
      </c>
      <c r="I176" s="21">
        <v>138</v>
      </c>
      <c r="J176" s="20" t="s">
        <v>61</v>
      </c>
      <c r="K176" s="20" t="s">
        <v>610</v>
      </c>
      <c r="L176" s="21">
        <v>0.99</v>
      </c>
    </row>
    <row r="177" spans="1:12" ht="14.4">
      <c r="A177" s="21">
        <v>256</v>
      </c>
      <c r="B177" s="20" t="s">
        <v>13</v>
      </c>
      <c r="C177" s="20" t="s">
        <v>481</v>
      </c>
      <c r="D177" s="20" t="s">
        <v>524</v>
      </c>
      <c r="E177" s="21">
        <v>7768030303</v>
      </c>
      <c r="F177" s="19" t="s">
        <v>525</v>
      </c>
      <c r="G177" s="20" t="s">
        <v>61</v>
      </c>
      <c r="H177" s="21">
        <v>4.8</v>
      </c>
      <c r="I177" s="21">
        <v>236</v>
      </c>
      <c r="J177" s="20" t="s">
        <v>61</v>
      </c>
      <c r="K177" s="20" t="s">
        <v>610</v>
      </c>
      <c r="L177" s="21">
        <v>0.96</v>
      </c>
    </row>
    <row r="178" spans="1:12" ht="14.4">
      <c r="A178" s="21">
        <v>257</v>
      </c>
      <c r="B178" s="20" t="s">
        <v>13</v>
      </c>
      <c r="C178" s="20" t="s">
        <v>481</v>
      </c>
      <c r="D178" s="20" t="s">
        <v>526</v>
      </c>
      <c r="E178" s="21">
        <v>9334083440</v>
      </c>
      <c r="F178" s="19" t="s">
        <v>527</v>
      </c>
      <c r="G178" s="20" t="s">
        <v>61</v>
      </c>
      <c r="H178" s="21">
        <v>4.5</v>
      </c>
      <c r="I178" s="21">
        <v>27</v>
      </c>
      <c r="J178" s="20" t="s">
        <v>61</v>
      </c>
      <c r="K178" s="20" t="s">
        <v>610</v>
      </c>
      <c r="L178" s="21">
        <v>1</v>
      </c>
    </row>
    <row r="179" spans="1:12" ht="14.4">
      <c r="A179" s="21">
        <v>258</v>
      </c>
      <c r="B179" s="20" t="s">
        <v>13</v>
      </c>
      <c r="C179" s="20" t="s">
        <v>481</v>
      </c>
      <c r="D179" s="20" t="s">
        <v>528</v>
      </c>
      <c r="E179" s="21">
        <v>9117177771</v>
      </c>
      <c r="F179" s="19" t="s">
        <v>529</v>
      </c>
      <c r="G179" s="20" t="s">
        <v>61</v>
      </c>
      <c r="H179" s="21">
        <v>4.7</v>
      </c>
      <c r="I179" s="21">
        <v>161</v>
      </c>
      <c r="J179" s="20" t="s">
        <v>61</v>
      </c>
      <c r="K179" s="20" t="s">
        <v>610</v>
      </c>
      <c r="L179" s="21">
        <v>0.93</v>
      </c>
    </row>
    <row r="180" spans="1:12" ht="14.4">
      <c r="A180" s="21">
        <v>259</v>
      </c>
      <c r="B180" s="20" t="s">
        <v>13</v>
      </c>
      <c r="C180" s="20" t="s">
        <v>481</v>
      </c>
      <c r="D180" s="20" t="s">
        <v>530</v>
      </c>
      <c r="E180" s="21">
        <v>8092210210</v>
      </c>
      <c r="F180" s="19" t="s">
        <v>531</v>
      </c>
      <c r="G180" s="20" t="s">
        <v>61</v>
      </c>
      <c r="H180" s="21">
        <v>4.9000000000000004</v>
      </c>
      <c r="I180" s="21">
        <v>59</v>
      </c>
      <c r="J180" s="20" t="s">
        <v>61</v>
      </c>
      <c r="K180" s="20" t="s">
        <v>610</v>
      </c>
      <c r="L180" s="21">
        <v>0.65</v>
      </c>
    </row>
    <row r="181" spans="1:12" ht="14.4">
      <c r="A181" s="21">
        <v>260</v>
      </c>
      <c r="B181" s="20" t="s">
        <v>13</v>
      </c>
      <c r="C181" s="20" t="s">
        <v>481</v>
      </c>
      <c r="D181" s="20" t="s">
        <v>532</v>
      </c>
      <c r="E181" s="21">
        <v>9430270997</v>
      </c>
      <c r="F181" s="19" t="s">
        <v>533</v>
      </c>
      <c r="G181" s="20" t="s">
        <v>61</v>
      </c>
      <c r="H181" s="21">
        <v>3.6</v>
      </c>
      <c r="I181" s="21">
        <v>54</v>
      </c>
      <c r="J181" s="20" t="s">
        <v>61</v>
      </c>
      <c r="K181" s="20" t="s">
        <v>610</v>
      </c>
      <c r="L181" s="21">
        <v>0.97</v>
      </c>
    </row>
    <row r="182" spans="1:12" ht="14.4">
      <c r="A182" s="21">
        <v>261</v>
      </c>
      <c r="B182" s="20" t="s">
        <v>13</v>
      </c>
      <c r="C182" s="20" t="s">
        <v>481</v>
      </c>
      <c r="D182" s="20" t="s">
        <v>534</v>
      </c>
      <c r="E182" s="21">
        <v>9931714161</v>
      </c>
      <c r="F182" s="19" t="s">
        <v>535</v>
      </c>
      <c r="G182" s="20" t="s">
        <v>61</v>
      </c>
      <c r="H182" s="21">
        <v>4</v>
      </c>
      <c r="I182" s="21">
        <v>26</v>
      </c>
      <c r="J182" s="20" t="s">
        <v>61</v>
      </c>
      <c r="K182" s="20" t="s">
        <v>610</v>
      </c>
      <c r="L182" s="21">
        <v>0.81</v>
      </c>
    </row>
    <row r="183" spans="1:12" ht="14.4">
      <c r="A183" s="21">
        <v>262</v>
      </c>
      <c r="B183" s="20" t="s">
        <v>13</v>
      </c>
      <c r="C183" s="20" t="s">
        <v>481</v>
      </c>
      <c r="D183" s="20" t="s">
        <v>536</v>
      </c>
      <c r="E183" s="21">
        <v>8434744899</v>
      </c>
      <c r="F183" s="19" t="s">
        <v>537</v>
      </c>
      <c r="G183" s="20" t="s">
        <v>61</v>
      </c>
      <c r="H183" s="21">
        <v>4.8</v>
      </c>
      <c r="I183" s="21">
        <v>23</v>
      </c>
      <c r="J183" s="20" t="s">
        <v>61</v>
      </c>
      <c r="K183" s="20" t="s">
        <v>610</v>
      </c>
      <c r="L183" s="21">
        <v>1</v>
      </c>
    </row>
    <row r="184" spans="1:12" ht="14.4">
      <c r="A184" s="21">
        <v>263</v>
      </c>
      <c r="B184" s="20" t="s">
        <v>13</v>
      </c>
      <c r="C184" s="20" t="s">
        <v>481</v>
      </c>
      <c r="D184" s="20" t="s">
        <v>538</v>
      </c>
      <c r="E184" s="21">
        <v>8252220418</v>
      </c>
      <c r="F184" s="19" t="s">
        <v>539</v>
      </c>
      <c r="G184" s="20" t="s">
        <v>61</v>
      </c>
      <c r="H184" s="21">
        <v>4.7</v>
      </c>
      <c r="I184" s="21">
        <v>92</v>
      </c>
      <c r="J184" s="20" t="s">
        <v>61</v>
      </c>
      <c r="K184" s="20" t="s">
        <v>610</v>
      </c>
      <c r="L184" s="21">
        <v>0.7</v>
      </c>
    </row>
    <row r="185" spans="1:12" ht="14.4">
      <c r="A185" s="21">
        <v>264</v>
      </c>
      <c r="B185" s="20" t="s">
        <v>13</v>
      </c>
      <c r="C185" s="20" t="s">
        <v>481</v>
      </c>
      <c r="D185" s="20" t="s">
        <v>540</v>
      </c>
      <c r="E185" s="21">
        <v>9771407251</v>
      </c>
      <c r="F185" s="19" t="s">
        <v>541</v>
      </c>
      <c r="G185" s="20" t="s">
        <v>61</v>
      </c>
      <c r="H185" s="21">
        <v>4.7</v>
      </c>
      <c r="I185" s="21">
        <v>12</v>
      </c>
      <c r="J185" s="20" t="s">
        <v>61</v>
      </c>
      <c r="K185" s="20" t="s">
        <v>610</v>
      </c>
      <c r="L185" s="21">
        <v>0.73</v>
      </c>
    </row>
    <row r="186" spans="1:12" ht="14.4">
      <c r="A186" s="21">
        <v>265</v>
      </c>
      <c r="B186" s="20" t="s">
        <v>13</v>
      </c>
      <c r="C186" s="20" t="s">
        <v>481</v>
      </c>
      <c r="D186" s="20" t="s">
        <v>542</v>
      </c>
      <c r="E186" s="21">
        <v>8340499972</v>
      </c>
      <c r="F186" s="19" t="s">
        <v>543</v>
      </c>
      <c r="G186" s="20" t="s">
        <v>61</v>
      </c>
      <c r="H186" s="21">
        <v>4.2</v>
      </c>
      <c r="I186" s="21">
        <v>36</v>
      </c>
      <c r="J186" s="20" t="s">
        <v>61</v>
      </c>
      <c r="K186" s="20" t="s">
        <v>610</v>
      </c>
      <c r="L186" s="21">
        <v>0.98</v>
      </c>
    </row>
    <row r="187" spans="1:12" ht="14.4">
      <c r="A187" s="21">
        <v>266</v>
      </c>
      <c r="B187" s="20" t="s">
        <v>13</v>
      </c>
      <c r="C187" s="20" t="s">
        <v>481</v>
      </c>
      <c r="D187" s="20" t="s">
        <v>544</v>
      </c>
      <c r="E187" s="21">
        <v>9431493121</v>
      </c>
      <c r="F187" s="19" t="s">
        <v>545</v>
      </c>
      <c r="G187" s="20" t="s">
        <v>61</v>
      </c>
      <c r="H187" s="21">
        <v>4.3</v>
      </c>
      <c r="I187" s="21">
        <v>16</v>
      </c>
      <c r="J187" s="20" t="s">
        <v>61</v>
      </c>
      <c r="K187" s="20" t="s">
        <v>610</v>
      </c>
      <c r="L187" s="21">
        <v>0.94</v>
      </c>
    </row>
    <row r="188" spans="1:12" ht="14.4">
      <c r="A188" s="21">
        <v>267</v>
      </c>
      <c r="B188" s="20" t="s">
        <v>13</v>
      </c>
      <c r="C188" s="20" t="s">
        <v>481</v>
      </c>
      <c r="D188" s="20" t="s">
        <v>546</v>
      </c>
      <c r="E188" s="21">
        <v>6201374184</v>
      </c>
      <c r="F188" s="19" t="s">
        <v>547</v>
      </c>
      <c r="G188" s="20" t="s">
        <v>61</v>
      </c>
      <c r="H188" s="21">
        <v>4.7</v>
      </c>
      <c r="I188" s="21">
        <v>14</v>
      </c>
      <c r="J188" s="20" t="s">
        <v>61</v>
      </c>
      <c r="K188" s="20" t="s">
        <v>610</v>
      </c>
      <c r="L188" s="21">
        <v>0.68</v>
      </c>
    </row>
    <row r="189" spans="1:12" ht="14.4">
      <c r="A189" s="21">
        <v>268</v>
      </c>
      <c r="B189" s="20" t="s">
        <v>13</v>
      </c>
      <c r="C189" s="20" t="s">
        <v>481</v>
      </c>
      <c r="D189" s="20" t="s">
        <v>548</v>
      </c>
      <c r="E189" s="21">
        <v>7992310993</v>
      </c>
      <c r="F189" s="19" t="s">
        <v>549</v>
      </c>
      <c r="G189" s="20" t="s">
        <v>61</v>
      </c>
      <c r="H189" s="21">
        <v>4.8</v>
      </c>
      <c r="I189" s="21">
        <v>4</v>
      </c>
      <c r="J189" s="20" t="s">
        <v>61</v>
      </c>
      <c r="K189" s="20" t="s">
        <v>610</v>
      </c>
      <c r="L189" s="21">
        <v>0.99</v>
      </c>
    </row>
    <row r="190" spans="1:12" ht="14.4">
      <c r="A190" s="21">
        <v>269</v>
      </c>
      <c r="B190" s="20" t="s">
        <v>13</v>
      </c>
      <c r="C190" s="20" t="s">
        <v>481</v>
      </c>
      <c r="D190" s="20" t="s">
        <v>550</v>
      </c>
      <c r="E190" s="21">
        <v>9693204765</v>
      </c>
      <c r="F190" s="19" t="s">
        <v>551</v>
      </c>
      <c r="G190" s="20" t="s">
        <v>61</v>
      </c>
      <c r="H190" s="21">
        <v>3.8</v>
      </c>
      <c r="I190" s="21">
        <v>63</v>
      </c>
      <c r="J190" s="20" t="s">
        <v>61</v>
      </c>
      <c r="K190" s="20" t="s">
        <v>610</v>
      </c>
      <c r="L190" s="21">
        <v>0.55000000000000004</v>
      </c>
    </row>
    <row r="191" spans="1:12" ht="14.4">
      <c r="A191" s="21">
        <v>275</v>
      </c>
      <c r="B191" s="20" t="s">
        <v>13</v>
      </c>
      <c r="C191" s="20" t="s">
        <v>481</v>
      </c>
      <c r="D191" s="20" t="s">
        <v>562</v>
      </c>
      <c r="E191" s="21">
        <v>9693837617</v>
      </c>
      <c r="F191" s="19" t="s">
        <v>563</v>
      </c>
      <c r="G191" s="20" t="s">
        <v>61</v>
      </c>
      <c r="H191" s="21">
        <v>4.3</v>
      </c>
      <c r="I191" s="21">
        <v>6</v>
      </c>
      <c r="J191" s="20" t="s">
        <v>61</v>
      </c>
      <c r="K191" s="20" t="s">
        <v>610</v>
      </c>
      <c r="L191" s="21">
        <v>0.98</v>
      </c>
    </row>
    <row r="192" spans="1:12" ht="14.4">
      <c r="A192" s="21">
        <v>276</v>
      </c>
      <c r="B192" s="20" t="s">
        <v>13</v>
      </c>
      <c r="C192" s="20" t="s">
        <v>481</v>
      </c>
      <c r="D192" s="20" t="s">
        <v>564</v>
      </c>
      <c r="E192" s="21">
        <v>9608266633</v>
      </c>
      <c r="F192" s="19" t="s">
        <v>565</v>
      </c>
      <c r="G192" s="20" t="s">
        <v>61</v>
      </c>
      <c r="H192" s="21">
        <v>4.2</v>
      </c>
      <c r="I192" s="21">
        <v>10</v>
      </c>
      <c r="J192" s="20" t="s">
        <v>61</v>
      </c>
      <c r="K192" s="20" t="s">
        <v>610</v>
      </c>
      <c r="L192" s="21">
        <v>0.92</v>
      </c>
    </row>
    <row r="193" spans="1:12" ht="14.4">
      <c r="A193" s="21">
        <v>277</v>
      </c>
      <c r="B193" s="20" t="s">
        <v>13</v>
      </c>
      <c r="C193" s="20" t="s">
        <v>481</v>
      </c>
      <c r="D193" s="20" t="s">
        <v>566</v>
      </c>
      <c r="E193" s="21">
        <v>9905050226</v>
      </c>
      <c r="F193" s="19" t="s">
        <v>567</v>
      </c>
      <c r="G193" s="20" t="s">
        <v>61</v>
      </c>
      <c r="H193" s="21">
        <v>2.2999999999999998</v>
      </c>
      <c r="I193" s="21">
        <v>3</v>
      </c>
      <c r="J193" s="20" t="s">
        <v>61</v>
      </c>
      <c r="K193" s="20" t="s">
        <v>610</v>
      </c>
      <c r="L193" s="21">
        <v>0.99</v>
      </c>
    </row>
    <row r="194" spans="1:12" ht="14.4">
      <c r="A194" s="21">
        <v>278</v>
      </c>
      <c r="B194" s="20" t="s">
        <v>13</v>
      </c>
      <c r="C194" s="20" t="s">
        <v>481</v>
      </c>
      <c r="D194" s="20" t="s">
        <v>568</v>
      </c>
      <c r="E194" s="21">
        <v>8873759590</v>
      </c>
      <c r="F194" s="19" t="s">
        <v>569</v>
      </c>
      <c r="G194" s="20" t="s">
        <v>61</v>
      </c>
      <c r="H194" s="21">
        <v>3.9</v>
      </c>
      <c r="I194" s="21">
        <v>19</v>
      </c>
      <c r="J194" s="20" t="s">
        <v>61</v>
      </c>
      <c r="K194" s="20" t="s">
        <v>610</v>
      </c>
      <c r="L194" s="21">
        <v>1</v>
      </c>
    </row>
    <row r="195" spans="1:12" ht="14.4">
      <c r="A195" s="21">
        <v>279</v>
      </c>
      <c r="B195" s="20" t="s">
        <v>13</v>
      </c>
      <c r="C195" s="20" t="s">
        <v>481</v>
      </c>
      <c r="D195" s="20" t="s">
        <v>570</v>
      </c>
      <c r="E195" s="21">
        <v>7541811717</v>
      </c>
      <c r="F195" s="19" t="s">
        <v>571</v>
      </c>
      <c r="G195" s="20" t="s">
        <v>61</v>
      </c>
      <c r="H195" s="21">
        <v>5</v>
      </c>
      <c r="I195" s="21">
        <v>2</v>
      </c>
      <c r="J195" s="20" t="s">
        <v>61</v>
      </c>
      <c r="K195" s="20" t="s">
        <v>610</v>
      </c>
      <c r="L195" s="21">
        <v>1</v>
      </c>
    </row>
    <row r="196" spans="1:12" ht="14.4">
      <c r="A196" s="21">
        <v>280</v>
      </c>
      <c r="B196" s="20" t="s">
        <v>13</v>
      </c>
      <c r="C196" s="20" t="s">
        <v>481</v>
      </c>
      <c r="D196" s="20" t="s">
        <v>572</v>
      </c>
      <c r="E196" s="21">
        <v>7903638039</v>
      </c>
      <c r="F196" s="19" t="s">
        <v>573</v>
      </c>
      <c r="G196" s="20" t="s">
        <v>61</v>
      </c>
      <c r="H196" s="21">
        <v>4.8</v>
      </c>
      <c r="I196" s="21">
        <v>5</v>
      </c>
      <c r="J196" s="20" t="s">
        <v>61</v>
      </c>
      <c r="K196" s="20" t="s">
        <v>610</v>
      </c>
      <c r="L196" s="21">
        <v>1</v>
      </c>
    </row>
    <row r="197" spans="1:12" ht="14.4">
      <c r="A197" s="21">
        <v>281</v>
      </c>
      <c r="B197" s="20" t="s">
        <v>13</v>
      </c>
      <c r="C197" s="20" t="s">
        <v>481</v>
      </c>
      <c r="D197" s="20" t="s">
        <v>574</v>
      </c>
      <c r="E197" s="21">
        <v>7209642334</v>
      </c>
      <c r="F197" s="19" t="s">
        <v>575</v>
      </c>
      <c r="G197" s="20" t="s">
        <v>61</v>
      </c>
      <c r="H197" s="21">
        <v>4.9000000000000004</v>
      </c>
      <c r="I197" s="21">
        <v>24</v>
      </c>
      <c r="J197" s="20" t="s">
        <v>61</v>
      </c>
      <c r="K197" s="20" t="s">
        <v>610</v>
      </c>
      <c r="L197" s="21">
        <v>1</v>
      </c>
    </row>
    <row r="198" spans="1:12" ht="14.4">
      <c r="A198" s="21">
        <v>282</v>
      </c>
      <c r="B198" s="20" t="s">
        <v>13</v>
      </c>
      <c r="C198" s="20" t="s">
        <v>481</v>
      </c>
      <c r="D198" s="20" t="s">
        <v>576</v>
      </c>
      <c r="E198" s="21">
        <v>6203186077</v>
      </c>
      <c r="F198" s="19" t="s">
        <v>577</v>
      </c>
      <c r="G198" s="20" t="s">
        <v>61</v>
      </c>
      <c r="H198" s="21">
        <v>4.5999999999999996</v>
      </c>
      <c r="I198" s="21">
        <v>25</v>
      </c>
      <c r="J198" s="20" t="s">
        <v>61</v>
      </c>
      <c r="K198" s="20" t="s">
        <v>610</v>
      </c>
      <c r="L198" s="21">
        <v>0.99</v>
      </c>
    </row>
    <row r="199" spans="1:12" ht="14.4">
      <c r="A199" s="21">
        <v>283</v>
      </c>
      <c r="B199" s="20" t="s">
        <v>13</v>
      </c>
      <c r="C199" s="20" t="s">
        <v>481</v>
      </c>
      <c r="D199" s="20" t="s">
        <v>578</v>
      </c>
      <c r="E199" s="21">
        <v>7544824817</v>
      </c>
      <c r="F199" s="19" t="s">
        <v>579</v>
      </c>
      <c r="G199" s="20" t="s">
        <v>61</v>
      </c>
      <c r="H199" s="21">
        <v>2.2999999999999998</v>
      </c>
      <c r="I199" s="21">
        <v>4</v>
      </c>
      <c r="J199" s="20" t="s">
        <v>61</v>
      </c>
      <c r="K199" s="20" t="s">
        <v>610</v>
      </c>
      <c r="L199" s="21">
        <v>1</v>
      </c>
    </row>
    <row r="200" spans="1:12" ht="14.4">
      <c r="A200" s="21">
        <v>284</v>
      </c>
      <c r="B200" s="20" t="s">
        <v>13</v>
      </c>
      <c r="C200" s="20" t="s">
        <v>481</v>
      </c>
      <c r="D200" s="20" t="s">
        <v>580</v>
      </c>
      <c r="E200" s="21">
        <v>9534438460</v>
      </c>
      <c r="F200" s="19" t="s">
        <v>581</v>
      </c>
      <c r="G200" s="20" t="s">
        <v>61</v>
      </c>
      <c r="H200" s="21">
        <v>4.5999999999999996</v>
      </c>
      <c r="I200" s="21">
        <v>16</v>
      </c>
      <c r="J200" s="20" t="s">
        <v>61</v>
      </c>
      <c r="K200" s="20" t="s">
        <v>610</v>
      </c>
      <c r="L200" s="21">
        <v>0.99</v>
      </c>
    </row>
    <row r="201" spans="1:12" ht="14.4">
      <c r="A201" s="21">
        <v>285</v>
      </c>
      <c r="B201" s="20" t="s">
        <v>13</v>
      </c>
      <c r="C201" s="20" t="s">
        <v>481</v>
      </c>
      <c r="D201" s="20" t="s">
        <v>582</v>
      </c>
      <c r="E201" s="21">
        <v>9386773875</v>
      </c>
      <c r="F201" s="19" t="s">
        <v>583</v>
      </c>
      <c r="G201" s="20" t="s">
        <v>61</v>
      </c>
      <c r="H201" s="21">
        <v>4</v>
      </c>
      <c r="I201" s="21">
        <v>3</v>
      </c>
      <c r="J201" s="20" t="s">
        <v>61</v>
      </c>
      <c r="K201" s="20" t="s">
        <v>610</v>
      </c>
      <c r="L201" s="21">
        <v>0.99</v>
      </c>
    </row>
    <row r="202" spans="1:12" ht="14.4">
      <c r="A202" s="21">
        <v>286</v>
      </c>
      <c r="B202" s="20" t="s">
        <v>13</v>
      </c>
      <c r="C202" s="20" t="s">
        <v>481</v>
      </c>
      <c r="D202" s="20" t="s">
        <v>584</v>
      </c>
      <c r="E202" s="21">
        <v>7488074261</v>
      </c>
      <c r="F202" s="19" t="s">
        <v>585</v>
      </c>
      <c r="G202" s="20" t="s">
        <v>61</v>
      </c>
      <c r="H202" s="21">
        <v>0</v>
      </c>
      <c r="I202" s="21">
        <v>0</v>
      </c>
      <c r="J202" s="20" t="s">
        <v>61</v>
      </c>
      <c r="K202" s="20" t="s">
        <v>610</v>
      </c>
      <c r="L202" s="20" t="s">
        <v>612</v>
      </c>
    </row>
    <row r="203" spans="1:12" ht="14.4">
      <c r="A203" s="21">
        <v>287</v>
      </c>
      <c r="B203" s="20" t="s">
        <v>13</v>
      </c>
      <c r="C203" s="20" t="s">
        <v>481</v>
      </c>
      <c r="D203" s="20" t="s">
        <v>586</v>
      </c>
      <c r="E203" s="21">
        <v>6122300915</v>
      </c>
      <c r="F203" s="19" t="s">
        <v>587</v>
      </c>
      <c r="G203" s="20" t="s">
        <v>61</v>
      </c>
      <c r="H203" s="21">
        <v>5</v>
      </c>
      <c r="I203" s="21">
        <v>2</v>
      </c>
      <c r="J203" s="20" t="s">
        <v>61</v>
      </c>
      <c r="K203" s="20" t="s">
        <v>610</v>
      </c>
      <c r="L203" s="21">
        <v>1</v>
      </c>
    </row>
    <row r="204" spans="1:12" ht="14.4">
      <c r="A204" s="21">
        <v>293</v>
      </c>
      <c r="B204" s="20" t="s">
        <v>13</v>
      </c>
      <c r="C204" s="20" t="s">
        <v>481</v>
      </c>
      <c r="D204" s="20" t="s">
        <v>597</v>
      </c>
      <c r="E204" s="21">
        <v>8540999641</v>
      </c>
      <c r="F204" s="19" t="s">
        <v>598</v>
      </c>
      <c r="G204" s="20" t="s">
        <v>61</v>
      </c>
      <c r="H204" s="21">
        <v>4.9000000000000004</v>
      </c>
      <c r="I204" s="21">
        <v>374</v>
      </c>
      <c r="J204" s="20" t="s">
        <v>61</v>
      </c>
      <c r="K204" s="20" t="s">
        <v>610</v>
      </c>
      <c r="L204" s="21">
        <v>1</v>
      </c>
    </row>
    <row r="205" spans="1:12" ht="14.4">
      <c r="A205" s="21">
        <v>294</v>
      </c>
      <c r="B205" s="20" t="s">
        <v>13</v>
      </c>
      <c r="C205" s="20" t="s">
        <v>481</v>
      </c>
      <c r="D205" s="20" t="s">
        <v>599</v>
      </c>
      <c r="E205" s="21">
        <v>8617433071</v>
      </c>
      <c r="F205" s="19" t="s">
        <v>600</v>
      </c>
      <c r="G205" s="20" t="s">
        <v>61</v>
      </c>
      <c r="H205" s="21">
        <v>5</v>
      </c>
      <c r="I205" s="21">
        <v>1</v>
      </c>
      <c r="J205" s="20" t="s">
        <v>61</v>
      </c>
      <c r="K205" s="20" t="s">
        <v>610</v>
      </c>
      <c r="L205" s="21">
        <v>1</v>
      </c>
    </row>
    <row r="206" spans="1:12" ht="14.4">
      <c r="A206" s="21">
        <v>295</v>
      </c>
      <c r="B206" s="20" t="s">
        <v>13</v>
      </c>
      <c r="C206" s="20" t="s">
        <v>481</v>
      </c>
      <c r="D206" s="20" t="s">
        <v>508</v>
      </c>
      <c r="E206" s="21">
        <v>8210184659</v>
      </c>
      <c r="F206" s="19" t="s">
        <v>601</v>
      </c>
      <c r="G206" s="20" t="s">
        <v>61</v>
      </c>
      <c r="H206" s="21">
        <v>0</v>
      </c>
      <c r="I206" s="21">
        <v>0</v>
      </c>
      <c r="J206" s="20" t="s">
        <v>61</v>
      </c>
      <c r="K206" s="20" t="s">
        <v>610</v>
      </c>
      <c r="L206" s="20" t="s">
        <v>612</v>
      </c>
    </row>
    <row r="207" spans="1:12" ht="14.4">
      <c r="A207" s="21">
        <v>296</v>
      </c>
      <c r="B207" s="20" t="s">
        <v>13</v>
      </c>
      <c r="C207" s="20" t="s">
        <v>481</v>
      </c>
      <c r="D207" s="20" t="s">
        <v>602</v>
      </c>
      <c r="E207" s="21">
        <v>8789822353</v>
      </c>
      <c r="F207" s="19" t="s">
        <v>603</v>
      </c>
      <c r="G207" s="20" t="s">
        <v>61</v>
      </c>
      <c r="H207" s="21">
        <v>5</v>
      </c>
      <c r="I207" s="21">
        <v>2</v>
      </c>
      <c r="J207" s="20" t="s">
        <v>61</v>
      </c>
      <c r="K207" s="20" t="s">
        <v>610</v>
      </c>
      <c r="L207" s="21">
        <v>1</v>
      </c>
    </row>
    <row r="208" spans="1:12" ht="14.4">
      <c r="A208" s="21">
        <v>297</v>
      </c>
      <c r="B208" s="20" t="s">
        <v>13</v>
      </c>
      <c r="C208" s="20" t="s">
        <v>481</v>
      </c>
      <c r="D208" s="20" t="s">
        <v>604</v>
      </c>
      <c r="E208" s="21">
        <v>9386999603</v>
      </c>
      <c r="F208" s="19" t="s">
        <v>605</v>
      </c>
      <c r="G208" s="20" t="s">
        <v>61</v>
      </c>
      <c r="H208" s="21">
        <v>5</v>
      </c>
      <c r="I208" s="21">
        <v>2</v>
      </c>
      <c r="J208" s="20" t="s">
        <v>61</v>
      </c>
      <c r="K208" s="20" t="s">
        <v>610</v>
      </c>
      <c r="L208" s="21">
        <v>1</v>
      </c>
    </row>
  </sheetData>
  <hyperlinks>
    <hyperlink ref="A1" r:id="rId1" xr:uid="{00000000-0004-0000-0200-000000000000}"/>
    <hyperlink ref="F2" r:id="rId2" xr:uid="{00000000-0004-0000-0200-000001000000}"/>
    <hyperlink ref="F3" r:id="rId3" xr:uid="{00000000-0004-0000-0200-000002000000}"/>
    <hyperlink ref="F4" r:id="rId4" xr:uid="{00000000-0004-0000-0200-000003000000}"/>
    <hyperlink ref="F5" r:id="rId5" xr:uid="{00000000-0004-0000-0200-000004000000}"/>
    <hyperlink ref="F6" r:id="rId6" xr:uid="{00000000-0004-0000-0200-000005000000}"/>
    <hyperlink ref="F7" r:id="rId7" xr:uid="{00000000-0004-0000-0200-000006000000}"/>
    <hyperlink ref="F8" r:id="rId8" xr:uid="{00000000-0004-0000-0200-000007000000}"/>
    <hyperlink ref="F9" r:id="rId9" xr:uid="{00000000-0004-0000-0200-000008000000}"/>
    <hyperlink ref="F10" r:id="rId10" xr:uid="{00000000-0004-0000-0200-000009000000}"/>
    <hyperlink ref="F11" r:id="rId11" xr:uid="{00000000-0004-0000-0200-00000A000000}"/>
    <hyperlink ref="F12" r:id="rId12" xr:uid="{00000000-0004-0000-0200-00000B000000}"/>
    <hyperlink ref="F13" r:id="rId13" xr:uid="{00000000-0004-0000-0200-00000C000000}"/>
    <hyperlink ref="F14" r:id="rId14" xr:uid="{00000000-0004-0000-0200-00000D000000}"/>
    <hyperlink ref="F15" r:id="rId15" xr:uid="{00000000-0004-0000-0200-00000E000000}"/>
    <hyperlink ref="F16" r:id="rId16" xr:uid="{00000000-0004-0000-0200-00000F000000}"/>
    <hyperlink ref="F17" r:id="rId17" xr:uid="{00000000-0004-0000-0200-000010000000}"/>
    <hyperlink ref="F18" r:id="rId18" xr:uid="{00000000-0004-0000-0200-000011000000}"/>
    <hyperlink ref="F19" r:id="rId19" xr:uid="{00000000-0004-0000-0200-000012000000}"/>
    <hyperlink ref="F20" r:id="rId20" xr:uid="{00000000-0004-0000-0200-000013000000}"/>
    <hyperlink ref="F21" r:id="rId21" xr:uid="{00000000-0004-0000-0200-000014000000}"/>
    <hyperlink ref="F22" r:id="rId22" xr:uid="{00000000-0004-0000-0200-000015000000}"/>
    <hyperlink ref="F23" r:id="rId23" xr:uid="{00000000-0004-0000-0200-000016000000}"/>
    <hyperlink ref="F24" r:id="rId24" xr:uid="{00000000-0004-0000-0200-000017000000}"/>
    <hyperlink ref="F25" r:id="rId25" xr:uid="{00000000-0004-0000-0200-000018000000}"/>
    <hyperlink ref="F26" r:id="rId26" xr:uid="{00000000-0004-0000-0200-000019000000}"/>
    <hyperlink ref="F27" r:id="rId27" xr:uid="{00000000-0004-0000-0200-00001A000000}"/>
    <hyperlink ref="F28" r:id="rId28" xr:uid="{00000000-0004-0000-0200-00001B000000}"/>
    <hyperlink ref="F29" r:id="rId29" xr:uid="{00000000-0004-0000-0200-00001C000000}"/>
    <hyperlink ref="F30" r:id="rId30" xr:uid="{00000000-0004-0000-0200-00001D000000}"/>
    <hyperlink ref="F31" r:id="rId31" xr:uid="{00000000-0004-0000-0200-00001E000000}"/>
    <hyperlink ref="F32" r:id="rId32" xr:uid="{00000000-0004-0000-0200-00001F000000}"/>
    <hyperlink ref="F33" r:id="rId33" xr:uid="{00000000-0004-0000-0200-000020000000}"/>
    <hyperlink ref="F34" r:id="rId34" xr:uid="{00000000-0004-0000-0200-000021000000}"/>
    <hyperlink ref="F35" r:id="rId35" xr:uid="{00000000-0004-0000-0200-000022000000}"/>
    <hyperlink ref="F36" r:id="rId36" xr:uid="{00000000-0004-0000-0200-000023000000}"/>
    <hyperlink ref="F37" r:id="rId37" xr:uid="{00000000-0004-0000-0200-000024000000}"/>
    <hyperlink ref="F38" r:id="rId38" xr:uid="{00000000-0004-0000-0200-000025000000}"/>
    <hyperlink ref="F39" r:id="rId39" xr:uid="{00000000-0004-0000-0200-000026000000}"/>
    <hyperlink ref="F40" r:id="rId40" xr:uid="{00000000-0004-0000-0200-000027000000}"/>
    <hyperlink ref="F41" r:id="rId41" xr:uid="{00000000-0004-0000-0200-000028000000}"/>
    <hyperlink ref="F42" r:id="rId42" xr:uid="{00000000-0004-0000-0200-000029000000}"/>
    <hyperlink ref="F43" r:id="rId43" xr:uid="{00000000-0004-0000-0200-00002A000000}"/>
    <hyperlink ref="F44" r:id="rId44" xr:uid="{00000000-0004-0000-0200-00002B000000}"/>
    <hyperlink ref="F45" r:id="rId45" xr:uid="{00000000-0004-0000-0200-00002C000000}"/>
    <hyperlink ref="F46" r:id="rId46" xr:uid="{00000000-0004-0000-0200-00002D000000}"/>
    <hyperlink ref="F47" r:id="rId47" xr:uid="{00000000-0004-0000-0200-00002E000000}"/>
    <hyperlink ref="F48" r:id="rId48" xr:uid="{00000000-0004-0000-0200-00002F000000}"/>
    <hyperlink ref="F49" r:id="rId49" xr:uid="{00000000-0004-0000-0200-000030000000}"/>
    <hyperlink ref="F50" r:id="rId50" xr:uid="{00000000-0004-0000-0200-000031000000}"/>
    <hyperlink ref="F51" r:id="rId51" xr:uid="{00000000-0004-0000-0200-000032000000}"/>
    <hyperlink ref="F52" r:id="rId52" xr:uid="{00000000-0004-0000-0200-000033000000}"/>
    <hyperlink ref="F53" r:id="rId53" xr:uid="{00000000-0004-0000-0200-000034000000}"/>
    <hyperlink ref="F54" r:id="rId54" xr:uid="{00000000-0004-0000-0200-000035000000}"/>
    <hyperlink ref="F55" r:id="rId55" xr:uid="{00000000-0004-0000-0200-000036000000}"/>
    <hyperlink ref="F56" r:id="rId56" xr:uid="{00000000-0004-0000-0200-000037000000}"/>
    <hyperlink ref="F57" r:id="rId57" xr:uid="{00000000-0004-0000-0200-000038000000}"/>
    <hyperlink ref="F58" r:id="rId58" xr:uid="{00000000-0004-0000-0200-000039000000}"/>
    <hyperlink ref="D59" r:id="rId59" xr:uid="{00000000-0004-0000-0200-00003A000000}"/>
    <hyperlink ref="F59" r:id="rId60" xr:uid="{00000000-0004-0000-0200-00003B000000}"/>
    <hyperlink ref="F60" r:id="rId61" xr:uid="{00000000-0004-0000-0200-00003C000000}"/>
    <hyperlink ref="F61" r:id="rId62" xr:uid="{00000000-0004-0000-0200-00003D000000}"/>
    <hyperlink ref="F62" r:id="rId63" xr:uid="{00000000-0004-0000-0200-00003E000000}"/>
    <hyperlink ref="F63" r:id="rId64" xr:uid="{00000000-0004-0000-0200-00003F000000}"/>
    <hyperlink ref="F64" r:id="rId65" xr:uid="{00000000-0004-0000-0200-000040000000}"/>
    <hyperlink ref="F65" r:id="rId66" xr:uid="{00000000-0004-0000-0200-000041000000}"/>
    <hyperlink ref="F66" r:id="rId67" xr:uid="{00000000-0004-0000-0200-000042000000}"/>
    <hyperlink ref="F67" r:id="rId68" xr:uid="{00000000-0004-0000-0200-000043000000}"/>
    <hyperlink ref="F68" r:id="rId69" xr:uid="{00000000-0004-0000-0200-000044000000}"/>
    <hyperlink ref="F69" r:id="rId70" xr:uid="{00000000-0004-0000-0200-000045000000}"/>
    <hyperlink ref="F70" r:id="rId71" xr:uid="{00000000-0004-0000-0200-000046000000}"/>
    <hyperlink ref="F71" r:id="rId72" xr:uid="{00000000-0004-0000-0200-000047000000}"/>
    <hyperlink ref="F72" r:id="rId73" xr:uid="{00000000-0004-0000-0200-000048000000}"/>
    <hyperlink ref="F73" r:id="rId74" xr:uid="{00000000-0004-0000-0200-000049000000}"/>
    <hyperlink ref="F74" r:id="rId75" xr:uid="{00000000-0004-0000-0200-00004A000000}"/>
    <hyperlink ref="F75" r:id="rId76" xr:uid="{00000000-0004-0000-0200-00004B000000}"/>
    <hyperlink ref="F76" r:id="rId77" xr:uid="{00000000-0004-0000-0200-00004C000000}"/>
    <hyperlink ref="F77" r:id="rId78" xr:uid="{00000000-0004-0000-0200-00004D000000}"/>
    <hyperlink ref="F78" r:id="rId79" xr:uid="{00000000-0004-0000-0200-00004E000000}"/>
    <hyperlink ref="F79" r:id="rId80" xr:uid="{00000000-0004-0000-0200-00004F000000}"/>
    <hyperlink ref="F80" r:id="rId81" xr:uid="{00000000-0004-0000-0200-000050000000}"/>
    <hyperlink ref="F81" r:id="rId82" xr:uid="{00000000-0004-0000-0200-000051000000}"/>
    <hyperlink ref="F82" r:id="rId83" xr:uid="{00000000-0004-0000-0200-000052000000}"/>
    <hyperlink ref="F83" r:id="rId84" xr:uid="{00000000-0004-0000-0200-000053000000}"/>
    <hyperlink ref="F84" r:id="rId85" xr:uid="{00000000-0004-0000-0200-000054000000}"/>
    <hyperlink ref="F85" r:id="rId86" xr:uid="{00000000-0004-0000-0200-000055000000}"/>
    <hyperlink ref="F86" r:id="rId87" xr:uid="{00000000-0004-0000-0200-000056000000}"/>
    <hyperlink ref="F87" r:id="rId88" xr:uid="{00000000-0004-0000-0200-000057000000}"/>
    <hyperlink ref="F88" r:id="rId89" xr:uid="{00000000-0004-0000-0200-000058000000}"/>
    <hyperlink ref="F89" r:id="rId90" xr:uid="{00000000-0004-0000-0200-000059000000}"/>
    <hyperlink ref="F90" r:id="rId91" xr:uid="{00000000-0004-0000-0200-00005A000000}"/>
    <hyperlink ref="F91" r:id="rId92" xr:uid="{00000000-0004-0000-0200-00005B000000}"/>
    <hyperlink ref="F92" r:id="rId93" xr:uid="{00000000-0004-0000-0200-00005C000000}"/>
    <hyperlink ref="F93" r:id="rId94" xr:uid="{00000000-0004-0000-0200-00005D000000}"/>
    <hyperlink ref="F94" r:id="rId95" xr:uid="{00000000-0004-0000-0200-00005E000000}"/>
    <hyperlink ref="F95" r:id="rId96" xr:uid="{00000000-0004-0000-0200-00005F000000}"/>
    <hyperlink ref="F96" r:id="rId97" xr:uid="{00000000-0004-0000-0200-000060000000}"/>
    <hyperlink ref="F97" r:id="rId98" xr:uid="{00000000-0004-0000-0200-000061000000}"/>
    <hyperlink ref="F98" r:id="rId99" xr:uid="{00000000-0004-0000-0200-000062000000}"/>
    <hyperlink ref="F99" r:id="rId100" xr:uid="{00000000-0004-0000-0200-000063000000}"/>
    <hyperlink ref="F100" r:id="rId101" xr:uid="{00000000-0004-0000-0200-000064000000}"/>
    <hyperlink ref="F101" r:id="rId102" xr:uid="{00000000-0004-0000-0200-000065000000}"/>
    <hyperlink ref="F102" r:id="rId103" xr:uid="{00000000-0004-0000-0200-000066000000}"/>
    <hyperlink ref="F103" r:id="rId104" xr:uid="{00000000-0004-0000-0200-000067000000}"/>
    <hyperlink ref="F104" r:id="rId105" xr:uid="{00000000-0004-0000-0200-000068000000}"/>
    <hyperlink ref="F105" r:id="rId106" xr:uid="{00000000-0004-0000-0200-000069000000}"/>
    <hyperlink ref="F106" r:id="rId107" xr:uid="{00000000-0004-0000-0200-00006A000000}"/>
    <hyperlink ref="F107" r:id="rId108" xr:uid="{00000000-0004-0000-0200-00006B000000}"/>
    <hyperlink ref="F108" r:id="rId109" xr:uid="{00000000-0004-0000-0200-00006C000000}"/>
    <hyperlink ref="F109" r:id="rId110" xr:uid="{00000000-0004-0000-0200-00006D000000}"/>
    <hyperlink ref="F110" r:id="rId111" xr:uid="{00000000-0004-0000-0200-00006E000000}"/>
    <hyperlink ref="F111" r:id="rId112" xr:uid="{00000000-0004-0000-0200-00006F000000}"/>
    <hyperlink ref="F112" r:id="rId113" xr:uid="{00000000-0004-0000-0200-000070000000}"/>
    <hyperlink ref="F113" r:id="rId114" xr:uid="{00000000-0004-0000-0200-000071000000}"/>
    <hyperlink ref="F114" r:id="rId115" xr:uid="{00000000-0004-0000-0200-000072000000}"/>
    <hyperlink ref="F115" r:id="rId116" xr:uid="{00000000-0004-0000-0200-000073000000}"/>
    <hyperlink ref="F116" r:id="rId117" xr:uid="{00000000-0004-0000-0200-000074000000}"/>
    <hyperlink ref="F117" r:id="rId118" xr:uid="{00000000-0004-0000-0200-000075000000}"/>
    <hyperlink ref="F118" r:id="rId119" xr:uid="{00000000-0004-0000-0200-000076000000}"/>
    <hyperlink ref="F119" r:id="rId120" xr:uid="{00000000-0004-0000-0200-000077000000}"/>
    <hyperlink ref="F120" r:id="rId121" xr:uid="{00000000-0004-0000-0200-000078000000}"/>
    <hyperlink ref="F121" r:id="rId122" xr:uid="{00000000-0004-0000-0200-000079000000}"/>
    <hyperlink ref="F122" r:id="rId123" xr:uid="{00000000-0004-0000-0200-00007A000000}"/>
    <hyperlink ref="F123" r:id="rId124" xr:uid="{00000000-0004-0000-0200-00007B000000}"/>
    <hyperlink ref="F124" r:id="rId125" xr:uid="{00000000-0004-0000-0200-00007C000000}"/>
    <hyperlink ref="F125" r:id="rId126" xr:uid="{00000000-0004-0000-0200-00007D000000}"/>
    <hyperlink ref="F126" r:id="rId127" xr:uid="{00000000-0004-0000-0200-00007E000000}"/>
    <hyperlink ref="F127" r:id="rId128" xr:uid="{00000000-0004-0000-0200-00007F000000}"/>
    <hyperlink ref="F128" r:id="rId129" xr:uid="{00000000-0004-0000-0200-000080000000}"/>
    <hyperlink ref="F129" r:id="rId130" xr:uid="{00000000-0004-0000-0200-000081000000}"/>
    <hyperlink ref="F130" r:id="rId131" xr:uid="{00000000-0004-0000-0200-000082000000}"/>
    <hyperlink ref="F131" r:id="rId132" xr:uid="{00000000-0004-0000-0200-000083000000}"/>
    <hyperlink ref="F132" r:id="rId133" xr:uid="{00000000-0004-0000-0200-000084000000}"/>
    <hyperlink ref="F133" r:id="rId134" xr:uid="{00000000-0004-0000-0200-000085000000}"/>
    <hyperlink ref="F134" r:id="rId135" xr:uid="{00000000-0004-0000-0200-000086000000}"/>
    <hyperlink ref="F135" r:id="rId136" xr:uid="{00000000-0004-0000-0200-000087000000}"/>
    <hyperlink ref="F136" r:id="rId137" xr:uid="{00000000-0004-0000-0200-000088000000}"/>
    <hyperlink ref="F137" r:id="rId138" xr:uid="{00000000-0004-0000-0200-000089000000}"/>
    <hyperlink ref="F138" r:id="rId139" xr:uid="{00000000-0004-0000-0200-00008A000000}"/>
    <hyperlink ref="F139" r:id="rId140" xr:uid="{00000000-0004-0000-0200-00008B000000}"/>
    <hyperlink ref="F140" r:id="rId141" xr:uid="{00000000-0004-0000-0200-00008C000000}"/>
    <hyperlink ref="F141" r:id="rId142" xr:uid="{00000000-0004-0000-0200-00008D000000}"/>
    <hyperlink ref="F142" r:id="rId143" xr:uid="{00000000-0004-0000-0200-00008E000000}"/>
    <hyperlink ref="F143" r:id="rId144" xr:uid="{00000000-0004-0000-0200-00008F000000}"/>
    <hyperlink ref="F144" r:id="rId145" xr:uid="{00000000-0004-0000-0200-000090000000}"/>
    <hyperlink ref="F145" r:id="rId146" xr:uid="{00000000-0004-0000-0200-000091000000}"/>
    <hyperlink ref="F146" r:id="rId147" xr:uid="{00000000-0004-0000-0200-000092000000}"/>
    <hyperlink ref="F147" r:id="rId148" xr:uid="{00000000-0004-0000-0200-000093000000}"/>
    <hyperlink ref="F148" r:id="rId149" xr:uid="{00000000-0004-0000-0200-000094000000}"/>
    <hyperlink ref="F149" r:id="rId150" xr:uid="{00000000-0004-0000-0200-000095000000}"/>
    <hyperlink ref="F150" r:id="rId151" xr:uid="{00000000-0004-0000-0200-000096000000}"/>
    <hyperlink ref="F151" r:id="rId152" xr:uid="{00000000-0004-0000-0200-000097000000}"/>
    <hyperlink ref="F152" r:id="rId153" xr:uid="{00000000-0004-0000-0200-000098000000}"/>
    <hyperlink ref="F153" r:id="rId154" xr:uid="{00000000-0004-0000-0200-000099000000}"/>
    <hyperlink ref="F154" r:id="rId155" xr:uid="{00000000-0004-0000-0200-00009A000000}"/>
    <hyperlink ref="F155" r:id="rId156" xr:uid="{00000000-0004-0000-0200-00009B000000}"/>
    <hyperlink ref="F156" r:id="rId157" xr:uid="{00000000-0004-0000-0200-00009C000000}"/>
    <hyperlink ref="F157" r:id="rId158" xr:uid="{00000000-0004-0000-0200-00009D000000}"/>
    <hyperlink ref="F158" r:id="rId159" xr:uid="{00000000-0004-0000-0200-00009E000000}"/>
    <hyperlink ref="F159" r:id="rId160" xr:uid="{00000000-0004-0000-0200-00009F000000}"/>
    <hyperlink ref="F160" r:id="rId161" xr:uid="{00000000-0004-0000-0200-0000A0000000}"/>
    <hyperlink ref="F161" r:id="rId162" xr:uid="{00000000-0004-0000-0200-0000A1000000}"/>
    <hyperlink ref="F162" r:id="rId163" xr:uid="{00000000-0004-0000-0200-0000A2000000}"/>
    <hyperlink ref="F163" r:id="rId164" xr:uid="{00000000-0004-0000-0200-0000A3000000}"/>
    <hyperlink ref="F164" r:id="rId165" xr:uid="{00000000-0004-0000-0200-0000A4000000}"/>
    <hyperlink ref="F165" r:id="rId166" xr:uid="{00000000-0004-0000-0200-0000A5000000}"/>
    <hyperlink ref="F166" r:id="rId167" xr:uid="{00000000-0004-0000-0200-0000A6000000}"/>
    <hyperlink ref="F167" r:id="rId168" xr:uid="{00000000-0004-0000-0200-0000A7000000}"/>
    <hyperlink ref="F168" r:id="rId169" xr:uid="{00000000-0004-0000-0200-0000A8000000}"/>
    <hyperlink ref="F169" r:id="rId170" xr:uid="{00000000-0004-0000-0200-0000A9000000}"/>
    <hyperlink ref="F170" r:id="rId171" xr:uid="{00000000-0004-0000-0200-0000AA000000}"/>
    <hyperlink ref="F171" r:id="rId172" xr:uid="{00000000-0004-0000-0200-0000AB000000}"/>
    <hyperlink ref="F172" r:id="rId173" xr:uid="{00000000-0004-0000-0200-0000AC000000}"/>
    <hyperlink ref="F173" r:id="rId174" xr:uid="{00000000-0004-0000-0200-0000AD000000}"/>
    <hyperlink ref="F174" r:id="rId175" xr:uid="{00000000-0004-0000-0200-0000AE000000}"/>
    <hyperlink ref="F175" r:id="rId176" xr:uid="{00000000-0004-0000-0200-0000AF000000}"/>
    <hyperlink ref="F176" r:id="rId177" xr:uid="{00000000-0004-0000-0200-0000B0000000}"/>
    <hyperlink ref="F177" r:id="rId178" xr:uid="{00000000-0004-0000-0200-0000B1000000}"/>
    <hyperlink ref="F178" r:id="rId179" xr:uid="{00000000-0004-0000-0200-0000B2000000}"/>
    <hyperlink ref="F179" r:id="rId180" xr:uid="{00000000-0004-0000-0200-0000B3000000}"/>
    <hyperlink ref="F180" r:id="rId181" xr:uid="{00000000-0004-0000-0200-0000B4000000}"/>
    <hyperlink ref="F181" r:id="rId182" xr:uid="{00000000-0004-0000-0200-0000B5000000}"/>
    <hyperlink ref="F182" r:id="rId183" xr:uid="{00000000-0004-0000-0200-0000B6000000}"/>
    <hyperlink ref="F183" r:id="rId184" xr:uid="{00000000-0004-0000-0200-0000B7000000}"/>
    <hyperlink ref="F184" r:id="rId185" xr:uid="{00000000-0004-0000-0200-0000B8000000}"/>
    <hyperlink ref="F185" r:id="rId186" xr:uid="{00000000-0004-0000-0200-0000B9000000}"/>
    <hyperlink ref="F186" r:id="rId187" xr:uid="{00000000-0004-0000-0200-0000BA000000}"/>
    <hyperlink ref="F187" r:id="rId188" xr:uid="{00000000-0004-0000-0200-0000BB000000}"/>
    <hyperlink ref="F188" r:id="rId189" xr:uid="{00000000-0004-0000-0200-0000BC000000}"/>
    <hyperlink ref="F189" r:id="rId190" xr:uid="{00000000-0004-0000-0200-0000BD000000}"/>
    <hyperlink ref="F190" r:id="rId191" xr:uid="{00000000-0004-0000-0200-0000BE000000}"/>
    <hyperlink ref="F191" r:id="rId192" xr:uid="{00000000-0004-0000-0200-0000BF000000}"/>
    <hyperlink ref="F192" r:id="rId193" xr:uid="{00000000-0004-0000-0200-0000C0000000}"/>
    <hyperlink ref="F193" r:id="rId194" xr:uid="{00000000-0004-0000-0200-0000C1000000}"/>
    <hyperlink ref="F194" r:id="rId195" xr:uid="{00000000-0004-0000-0200-0000C2000000}"/>
    <hyperlink ref="F195" r:id="rId196" xr:uid="{00000000-0004-0000-0200-0000C3000000}"/>
    <hyperlink ref="F196" r:id="rId197" xr:uid="{00000000-0004-0000-0200-0000C4000000}"/>
    <hyperlink ref="F197" r:id="rId198" xr:uid="{00000000-0004-0000-0200-0000C5000000}"/>
    <hyperlink ref="F198" r:id="rId199" xr:uid="{00000000-0004-0000-0200-0000C6000000}"/>
    <hyperlink ref="F199" r:id="rId200" xr:uid="{00000000-0004-0000-0200-0000C7000000}"/>
    <hyperlink ref="F200" r:id="rId201" xr:uid="{00000000-0004-0000-0200-0000C8000000}"/>
    <hyperlink ref="F201" r:id="rId202" xr:uid="{00000000-0004-0000-0200-0000C9000000}"/>
    <hyperlink ref="F202" r:id="rId203" xr:uid="{00000000-0004-0000-0200-0000CA000000}"/>
    <hyperlink ref="F203" r:id="rId204" xr:uid="{00000000-0004-0000-0200-0000CB000000}"/>
    <hyperlink ref="F204" r:id="rId205" xr:uid="{00000000-0004-0000-0200-0000CC000000}"/>
    <hyperlink ref="F205" r:id="rId206" xr:uid="{00000000-0004-0000-0200-0000CD000000}"/>
    <hyperlink ref="F206" r:id="rId207" xr:uid="{00000000-0004-0000-0200-0000CE000000}"/>
    <hyperlink ref="F207" r:id="rId208" xr:uid="{00000000-0004-0000-0200-0000CF000000}"/>
    <hyperlink ref="F208" r:id="rId209" xr:uid="{00000000-0004-0000-0200-0000D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1"/>
  <sheetViews>
    <sheetView workbookViewId="0"/>
  </sheetViews>
  <sheetFormatPr defaultColWidth="12.6640625" defaultRowHeight="15.75" customHeight="1"/>
  <cols>
    <col min="5" max="5" width="14.33203125" customWidth="1"/>
    <col min="12" max="12" width="21.6640625" customWidth="1"/>
  </cols>
  <sheetData>
    <row r="1" spans="1:14" ht="15.75" customHeight="1">
      <c r="A1" s="19" t="s">
        <v>0</v>
      </c>
      <c r="B1" s="20" t="s">
        <v>1</v>
      </c>
      <c r="C1" s="20" t="s">
        <v>2</v>
      </c>
      <c r="D1" s="20" t="s">
        <v>3</v>
      </c>
      <c r="E1" s="20" t="s">
        <v>8</v>
      </c>
      <c r="F1" s="20" t="s">
        <v>9</v>
      </c>
      <c r="G1" s="20" t="s">
        <v>10</v>
      </c>
      <c r="H1" s="20" t="s">
        <v>11</v>
      </c>
      <c r="I1" s="20" t="s">
        <v>12</v>
      </c>
      <c r="J1" s="20" t="s">
        <v>606</v>
      </c>
      <c r="K1" s="20" t="s">
        <v>607</v>
      </c>
      <c r="L1" s="34" t="s">
        <v>608</v>
      </c>
      <c r="M1" s="33"/>
      <c r="N1" s="33"/>
    </row>
    <row r="2" spans="1:14" ht="15.75" customHeight="1">
      <c r="A2" s="21">
        <v>5</v>
      </c>
      <c r="B2" s="20" t="s">
        <v>25</v>
      </c>
      <c r="C2" s="20" t="s">
        <v>26</v>
      </c>
      <c r="D2" s="20" t="s">
        <v>27</v>
      </c>
      <c r="E2" s="22">
        <v>12125822075</v>
      </c>
      <c r="F2" s="19" t="s">
        <v>28</v>
      </c>
      <c r="G2" s="20" t="s">
        <v>29</v>
      </c>
      <c r="H2" s="21">
        <v>4.3</v>
      </c>
      <c r="I2" s="21">
        <v>55</v>
      </c>
      <c r="J2" s="20" t="s">
        <v>29</v>
      </c>
      <c r="K2" s="20" t="s">
        <v>613</v>
      </c>
      <c r="L2" s="21">
        <v>0.99</v>
      </c>
      <c r="M2" s="20"/>
      <c r="N2" s="20"/>
    </row>
    <row r="3" spans="1:14" ht="15.75" customHeight="1">
      <c r="A3" s="21">
        <v>6</v>
      </c>
      <c r="B3" s="20" t="s">
        <v>25</v>
      </c>
      <c r="C3" s="20" t="s">
        <v>26</v>
      </c>
      <c r="D3" s="20" t="s">
        <v>30</v>
      </c>
      <c r="E3" s="22">
        <v>16464764047</v>
      </c>
      <c r="F3" s="19" t="s">
        <v>31</v>
      </c>
      <c r="G3" s="20" t="s">
        <v>29</v>
      </c>
      <c r="H3" s="21">
        <v>4.2</v>
      </c>
      <c r="I3" s="21">
        <v>57</v>
      </c>
      <c r="J3" s="20" t="s">
        <v>29</v>
      </c>
      <c r="K3" s="20" t="s">
        <v>613</v>
      </c>
      <c r="L3" s="21">
        <v>0.96</v>
      </c>
      <c r="M3" s="20"/>
      <c r="N3" s="20"/>
    </row>
    <row r="4" spans="1:14" ht="15.75" customHeight="1">
      <c r="A4" s="21">
        <v>7</v>
      </c>
      <c r="B4" s="20" t="s">
        <v>25</v>
      </c>
      <c r="C4" s="20" t="s">
        <v>26</v>
      </c>
      <c r="D4" s="20" t="s">
        <v>32</v>
      </c>
      <c r="E4" s="22">
        <v>16466923022</v>
      </c>
      <c r="F4" s="19" t="s">
        <v>33</v>
      </c>
      <c r="G4" s="20" t="s">
        <v>29</v>
      </c>
      <c r="H4" s="21">
        <v>5</v>
      </c>
      <c r="I4" s="21">
        <v>3</v>
      </c>
      <c r="J4" s="20" t="s">
        <v>29</v>
      </c>
      <c r="K4" s="20" t="s">
        <v>613</v>
      </c>
      <c r="L4" s="21">
        <v>0.98</v>
      </c>
      <c r="M4" s="20"/>
      <c r="N4" s="20"/>
    </row>
    <row r="5" spans="1:14" ht="15.75" customHeight="1">
      <c r="A5" s="21">
        <v>8</v>
      </c>
      <c r="B5" s="20" t="s">
        <v>25</v>
      </c>
      <c r="C5" s="20" t="s">
        <v>26</v>
      </c>
      <c r="D5" s="20" t="s">
        <v>34</v>
      </c>
      <c r="E5" s="22">
        <v>15186753636</v>
      </c>
      <c r="F5" s="19" t="s">
        <v>35</v>
      </c>
      <c r="G5" s="20" t="s">
        <v>29</v>
      </c>
      <c r="H5" s="21">
        <v>4.5</v>
      </c>
      <c r="I5" s="21">
        <v>12</v>
      </c>
      <c r="J5" s="20" t="s">
        <v>29</v>
      </c>
      <c r="K5" s="20" t="s">
        <v>613</v>
      </c>
      <c r="L5" s="21">
        <v>0.99</v>
      </c>
      <c r="M5" s="20"/>
      <c r="N5" s="20"/>
    </row>
    <row r="6" spans="1:14" ht="15.75" customHeight="1">
      <c r="A6" s="21">
        <v>9</v>
      </c>
      <c r="B6" s="20" t="s">
        <v>25</v>
      </c>
      <c r="C6" s="20" t="s">
        <v>26</v>
      </c>
      <c r="D6" s="20" t="s">
        <v>36</v>
      </c>
      <c r="E6" s="22">
        <v>12125417747</v>
      </c>
      <c r="F6" s="19" t="s">
        <v>37</v>
      </c>
      <c r="G6" s="20" t="s">
        <v>29</v>
      </c>
      <c r="H6" s="21">
        <v>4.5</v>
      </c>
      <c r="I6" s="21">
        <v>15</v>
      </c>
      <c r="J6" s="20" t="s">
        <v>29</v>
      </c>
      <c r="K6" s="20" t="s">
        <v>613</v>
      </c>
      <c r="L6" s="21">
        <v>1</v>
      </c>
      <c r="M6" s="20"/>
      <c r="N6" s="20"/>
    </row>
    <row r="7" spans="1:14" ht="15.75" customHeight="1">
      <c r="A7" s="21">
        <v>10</v>
      </c>
      <c r="B7" s="20" t="s">
        <v>25</v>
      </c>
      <c r="C7" s="20" t="s">
        <v>26</v>
      </c>
      <c r="D7" s="20" t="s">
        <v>38</v>
      </c>
      <c r="E7" s="22">
        <v>19293127422</v>
      </c>
      <c r="F7" s="19" t="s">
        <v>39</v>
      </c>
      <c r="G7" s="20" t="s">
        <v>29</v>
      </c>
      <c r="H7" s="21">
        <v>3.5</v>
      </c>
      <c r="I7" s="21">
        <v>8</v>
      </c>
      <c r="J7" s="20" t="s">
        <v>29</v>
      </c>
      <c r="K7" s="20" t="s">
        <v>613</v>
      </c>
      <c r="L7" s="21">
        <v>0.94</v>
      </c>
      <c r="M7" s="20"/>
      <c r="N7" s="20"/>
    </row>
    <row r="8" spans="1:14" ht="15.75" customHeight="1">
      <c r="A8" s="21">
        <v>11</v>
      </c>
      <c r="B8" s="20" t="s">
        <v>25</v>
      </c>
      <c r="C8" s="20" t="s">
        <v>26</v>
      </c>
      <c r="D8" s="20" t="s">
        <v>40</v>
      </c>
      <c r="E8" s="22">
        <v>12126088866</v>
      </c>
      <c r="F8" s="19" t="s">
        <v>41</v>
      </c>
      <c r="G8" s="20" t="s">
        <v>29</v>
      </c>
      <c r="H8" s="21">
        <v>4.5999999999999996</v>
      </c>
      <c r="I8" s="21">
        <v>17</v>
      </c>
      <c r="J8" s="20" t="s">
        <v>29</v>
      </c>
      <c r="K8" s="20" t="s">
        <v>613</v>
      </c>
      <c r="L8" s="21">
        <v>0.99</v>
      </c>
      <c r="M8" s="20"/>
      <c r="N8" s="20"/>
    </row>
    <row r="9" spans="1:14" ht="15.75" customHeight="1">
      <c r="A9" s="21">
        <v>12</v>
      </c>
      <c r="B9" s="20" t="s">
        <v>25</v>
      </c>
      <c r="C9" s="20" t="s">
        <v>26</v>
      </c>
      <c r="D9" s="20" t="s">
        <v>42</v>
      </c>
      <c r="E9" s="22">
        <v>12124757962</v>
      </c>
      <c r="F9" s="19" t="s">
        <v>43</v>
      </c>
      <c r="G9" s="20" t="s">
        <v>29</v>
      </c>
      <c r="H9" s="21">
        <v>4</v>
      </c>
      <c r="I9" s="21">
        <v>14</v>
      </c>
      <c r="J9" s="20" t="s">
        <v>29</v>
      </c>
      <c r="K9" s="20" t="s">
        <v>613</v>
      </c>
      <c r="L9" s="21">
        <v>1</v>
      </c>
      <c r="M9" s="20"/>
      <c r="N9" s="20"/>
    </row>
    <row r="10" spans="1:14" ht="15.75" customHeight="1">
      <c r="A10" s="21">
        <v>13</v>
      </c>
      <c r="B10" s="20" t="s">
        <v>25</v>
      </c>
      <c r="C10" s="20" t="s">
        <v>26</v>
      </c>
      <c r="D10" s="20" t="s">
        <v>44</v>
      </c>
      <c r="E10" s="22">
        <v>12124470131</v>
      </c>
      <c r="F10" s="19" t="s">
        <v>45</v>
      </c>
      <c r="G10" s="20" t="s">
        <v>29</v>
      </c>
      <c r="H10" s="21">
        <v>5</v>
      </c>
      <c r="I10" s="21">
        <v>6</v>
      </c>
      <c r="J10" s="20" t="s">
        <v>29</v>
      </c>
      <c r="K10" s="20" t="s">
        <v>613</v>
      </c>
      <c r="L10" s="21">
        <v>1</v>
      </c>
      <c r="M10" s="20"/>
      <c r="N10" s="20"/>
    </row>
    <row r="11" spans="1:14" ht="15.75" customHeight="1">
      <c r="A11" s="21">
        <v>14</v>
      </c>
      <c r="B11" s="20" t="s">
        <v>25</v>
      </c>
      <c r="C11" s="20" t="s">
        <v>26</v>
      </c>
      <c r="D11" s="20" t="s">
        <v>46</v>
      </c>
      <c r="E11" s="22">
        <v>16469830367</v>
      </c>
      <c r="F11" s="19" t="s">
        <v>47</v>
      </c>
      <c r="G11" s="20" t="s">
        <v>29</v>
      </c>
      <c r="H11" s="21">
        <v>4.0999999999999996</v>
      </c>
      <c r="I11" s="21">
        <v>25</v>
      </c>
      <c r="J11" s="20" t="s">
        <v>29</v>
      </c>
      <c r="K11" s="20" t="s">
        <v>613</v>
      </c>
      <c r="L11" s="21">
        <v>0.75</v>
      </c>
      <c r="M11" s="20"/>
      <c r="N11" s="20"/>
    </row>
    <row r="12" spans="1:14" ht="15.75" customHeight="1">
      <c r="A12" s="21">
        <v>15</v>
      </c>
      <c r="B12" s="20" t="s">
        <v>25</v>
      </c>
      <c r="C12" s="20" t="s">
        <v>26</v>
      </c>
      <c r="D12" s="20" t="s">
        <v>48</v>
      </c>
      <c r="E12" s="22">
        <v>12129415973</v>
      </c>
      <c r="F12" s="19" t="s">
        <v>49</v>
      </c>
      <c r="G12" s="20" t="s">
        <v>29</v>
      </c>
      <c r="H12" s="21">
        <v>4.2</v>
      </c>
      <c r="I12" s="21">
        <v>63</v>
      </c>
      <c r="J12" s="20" t="s">
        <v>29</v>
      </c>
      <c r="K12" s="20" t="s">
        <v>613</v>
      </c>
      <c r="L12" s="21">
        <v>0.97</v>
      </c>
      <c r="M12" s="20"/>
      <c r="N12" s="20"/>
    </row>
    <row r="13" spans="1:14" ht="15.75" customHeight="1">
      <c r="A13" s="21">
        <v>16</v>
      </c>
      <c r="B13" s="20" t="s">
        <v>25</v>
      </c>
      <c r="C13" s="20" t="s">
        <v>26</v>
      </c>
      <c r="D13" s="20" t="s">
        <v>50</v>
      </c>
      <c r="E13" s="22">
        <v>16468613801</v>
      </c>
      <c r="F13" s="19" t="s">
        <v>51</v>
      </c>
      <c r="G13" s="20" t="s">
        <v>29</v>
      </c>
      <c r="H13" s="21">
        <v>4.9000000000000004</v>
      </c>
      <c r="I13" s="21">
        <v>438</v>
      </c>
      <c r="J13" s="20" t="s">
        <v>29</v>
      </c>
      <c r="K13" s="20" t="s">
        <v>613</v>
      </c>
      <c r="L13" s="21">
        <v>0.99</v>
      </c>
      <c r="M13" s="20"/>
      <c r="N13" s="20"/>
    </row>
    <row r="14" spans="1:14" ht="15.75" customHeight="1">
      <c r="A14" s="21">
        <v>17</v>
      </c>
      <c r="B14" s="20" t="s">
        <v>25</v>
      </c>
      <c r="C14" s="20" t="s">
        <v>26</v>
      </c>
      <c r="D14" s="20" t="s">
        <v>52</v>
      </c>
      <c r="E14" s="22">
        <v>17184888336</v>
      </c>
      <c r="F14" s="19" t="s">
        <v>53</v>
      </c>
      <c r="G14" s="20" t="s">
        <v>29</v>
      </c>
      <c r="H14" s="21">
        <v>3.7</v>
      </c>
      <c r="I14" s="21">
        <v>432</v>
      </c>
      <c r="J14" s="20" t="s">
        <v>29</v>
      </c>
      <c r="K14" s="20" t="s">
        <v>613</v>
      </c>
      <c r="L14" s="21">
        <v>0.94</v>
      </c>
      <c r="M14" s="20"/>
      <c r="N14" s="20"/>
    </row>
    <row r="15" spans="1:14" ht="15.75" customHeight="1">
      <c r="A15" s="21">
        <v>18</v>
      </c>
      <c r="B15" s="20" t="s">
        <v>25</v>
      </c>
      <c r="C15" s="20" t="s">
        <v>26</v>
      </c>
      <c r="D15" s="20" t="s">
        <v>54</v>
      </c>
      <c r="E15" s="22">
        <v>12129247249</v>
      </c>
      <c r="F15" s="19" t="s">
        <v>55</v>
      </c>
      <c r="G15" s="20" t="s">
        <v>56</v>
      </c>
      <c r="H15" s="21">
        <v>3.8</v>
      </c>
      <c r="I15" s="21">
        <v>16</v>
      </c>
      <c r="J15" s="20" t="s">
        <v>56</v>
      </c>
      <c r="K15" s="20" t="s">
        <v>613</v>
      </c>
      <c r="L15" s="21">
        <v>1</v>
      </c>
      <c r="M15" s="20"/>
      <c r="N15" s="20"/>
    </row>
    <row r="16" spans="1:14" ht="15.75" customHeight="1">
      <c r="A16" s="21">
        <v>19</v>
      </c>
      <c r="B16" s="20" t="s">
        <v>25</v>
      </c>
      <c r="C16" s="20" t="s">
        <v>26</v>
      </c>
      <c r="D16" s="20" t="s">
        <v>57</v>
      </c>
      <c r="E16" s="22">
        <v>19176756480</v>
      </c>
      <c r="F16" s="19" t="s">
        <v>58</v>
      </c>
      <c r="G16" s="20" t="s">
        <v>29</v>
      </c>
      <c r="H16" s="21">
        <v>3.8</v>
      </c>
      <c r="I16" s="21">
        <v>50</v>
      </c>
      <c r="J16" s="20" t="s">
        <v>29</v>
      </c>
      <c r="K16" s="20" t="s">
        <v>613</v>
      </c>
      <c r="L16" s="21">
        <v>1</v>
      </c>
      <c r="M16" s="20"/>
      <c r="N16" s="20"/>
    </row>
    <row r="17" spans="1:14" ht="15.75" customHeight="1">
      <c r="A17" s="21">
        <v>40</v>
      </c>
      <c r="B17" s="20" t="s">
        <v>25</v>
      </c>
      <c r="C17" s="20" t="s">
        <v>26</v>
      </c>
      <c r="D17" s="20" t="s">
        <v>100</v>
      </c>
      <c r="E17" s="22">
        <v>17187140822</v>
      </c>
      <c r="F17" s="19" t="s">
        <v>101</v>
      </c>
      <c r="G17" s="20" t="s">
        <v>61</v>
      </c>
      <c r="H17" s="21">
        <v>5</v>
      </c>
      <c r="I17" s="21">
        <v>6</v>
      </c>
      <c r="J17" s="20" t="s">
        <v>61</v>
      </c>
      <c r="K17" s="20" t="s">
        <v>613</v>
      </c>
      <c r="L17" s="21">
        <v>1</v>
      </c>
      <c r="M17" s="20"/>
      <c r="N17" s="20"/>
    </row>
    <row r="18" spans="1:14" ht="15.75" customHeight="1">
      <c r="A18" s="21">
        <v>41</v>
      </c>
      <c r="B18" s="20" t="s">
        <v>25</v>
      </c>
      <c r="C18" s="20" t="s">
        <v>26</v>
      </c>
      <c r="D18" s="20" t="s">
        <v>102</v>
      </c>
      <c r="E18" s="22">
        <v>12127776864</v>
      </c>
      <c r="F18" s="19" t="s">
        <v>103</v>
      </c>
      <c r="G18" s="20" t="s">
        <v>61</v>
      </c>
      <c r="H18" s="21">
        <v>5</v>
      </c>
      <c r="I18" s="21">
        <v>50</v>
      </c>
      <c r="J18" s="20" t="s">
        <v>61</v>
      </c>
      <c r="K18" s="20" t="s">
        <v>613</v>
      </c>
      <c r="L18" s="21">
        <v>0.7</v>
      </c>
      <c r="M18" s="20"/>
      <c r="N18" s="20"/>
    </row>
    <row r="19" spans="1:14" ht="15.75" customHeight="1">
      <c r="A19" s="21">
        <v>42</v>
      </c>
      <c r="B19" s="20" t="s">
        <v>25</v>
      </c>
      <c r="C19" s="20" t="s">
        <v>26</v>
      </c>
      <c r="D19" s="20" t="s">
        <v>104</v>
      </c>
      <c r="E19" s="22">
        <v>17182329077</v>
      </c>
      <c r="F19" s="19" t="s">
        <v>105</v>
      </c>
      <c r="G19" s="20" t="s">
        <v>61</v>
      </c>
      <c r="H19" s="21">
        <v>3</v>
      </c>
      <c r="I19" s="21">
        <v>12</v>
      </c>
      <c r="J19" s="20" t="s">
        <v>61</v>
      </c>
      <c r="K19" s="20" t="s">
        <v>613</v>
      </c>
      <c r="L19" s="21">
        <v>1</v>
      </c>
      <c r="M19" s="20"/>
      <c r="N19" s="20"/>
    </row>
    <row r="20" spans="1:14" ht="15.75" customHeight="1">
      <c r="A20" s="21">
        <v>43</v>
      </c>
      <c r="B20" s="20" t="s">
        <v>25</v>
      </c>
      <c r="C20" s="20" t="s">
        <v>26</v>
      </c>
      <c r="D20" s="20" t="s">
        <v>106</v>
      </c>
      <c r="E20" s="22">
        <v>12127058717</v>
      </c>
      <c r="F20" s="19" t="s">
        <v>107</v>
      </c>
      <c r="G20" s="20" t="s">
        <v>61</v>
      </c>
      <c r="H20" s="21">
        <v>4.0999999999999996</v>
      </c>
      <c r="I20" s="21">
        <v>78</v>
      </c>
      <c r="J20" s="20" t="s">
        <v>61</v>
      </c>
      <c r="K20" s="20" t="s">
        <v>613</v>
      </c>
      <c r="L20" s="21">
        <v>0.99</v>
      </c>
      <c r="M20" s="20"/>
      <c r="N20" s="20"/>
    </row>
    <row r="21" spans="1:14" ht="15.75" customHeight="1">
      <c r="A21" s="21">
        <v>44</v>
      </c>
      <c r="B21" s="20" t="s">
        <v>25</v>
      </c>
      <c r="C21" s="20" t="s">
        <v>26</v>
      </c>
      <c r="D21" s="20" t="s">
        <v>108</v>
      </c>
      <c r="E21" s="22">
        <v>17187888899</v>
      </c>
      <c r="F21" s="19" t="s">
        <v>109</v>
      </c>
      <c r="G21" s="20" t="s">
        <v>61</v>
      </c>
      <c r="H21" s="21">
        <v>2.9</v>
      </c>
      <c r="I21" s="21">
        <v>52</v>
      </c>
      <c r="J21" s="20" t="s">
        <v>61</v>
      </c>
      <c r="K21" s="20" t="s">
        <v>613</v>
      </c>
      <c r="L21" s="21">
        <v>1</v>
      </c>
      <c r="M21" s="20"/>
      <c r="N21" s="20"/>
    </row>
    <row r="22" spans="1:14" ht="15.75" customHeight="1">
      <c r="A22" s="21">
        <v>45</v>
      </c>
      <c r="B22" s="20" t="s">
        <v>25</v>
      </c>
      <c r="C22" s="20" t="s">
        <v>26</v>
      </c>
      <c r="D22" s="20" t="s">
        <v>110</v>
      </c>
      <c r="E22" s="22">
        <v>12124731587</v>
      </c>
      <c r="F22" s="19" t="s">
        <v>111</v>
      </c>
      <c r="G22" s="20" t="s">
        <v>61</v>
      </c>
      <c r="H22" s="21">
        <v>4.7</v>
      </c>
      <c r="I22" s="21">
        <v>26</v>
      </c>
      <c r="J22" s="20" t="s">
        <v>61</v>
      </c>
      <c r="K22" s="20" t="s">
        <v>613</v>
      </c>
      <c r="L22" s="21">
        <v>0.76</v>
      </c>
      <c r="M22" s="20"/>
      <c r="N22" s="20"/>
    </row>
    <row r="23" spans="1:14" ht="15.75" customHeight="1">
      <c r="A23" s="21">
        <v>46</v>
      </c>
      <c r="B23" s="20" t="s">
        <v>25</v>
      </c>
      <c r="C23" s="20" t="s">
        <v>26</v>
      </c>
      <c r="D23" s="20" t="s">
        <v>112</v>
      </c>
      <c r="E23" s="22">
        <v>12126500911</v>
      </c>
      <c r="F23" s="19" t="s">
        <v>113</v>
      </c>
      <c r="G23" s="20" t="s">
        <v>114</v>
      </c>
      <c r="H23" s="21">
        <v>3.7</v>
      </c>
      <c r="I23" s="21">
        <v>28</v>
      </c>
      <c r="J23" s="20" t="s">
        <v>114</v>
      </c>
      <c r="K23" s="20" t="s">
        <v>613</v>
      </c>
      <c r="L23" s="21">
        <v>1</v>
      </c>
      <c r="M23" s="20"/>
      <c r="N23" s="20"/>
    </row>
    <row r="24" spans="1:14" ht="15.75" customHeight="1">
      <c r="A24" s="21">
        <v>47</v>
      </c>
      <c r="B24" s="20" t="s">
        <v>25</v>
      </c>
      <c r="C24" s="20" t="s">
        <v>26</v>
      </c>
      <c r="D24" s="20" t="s">
        <v>115</v>
      </c>
      <c r="E24" s="22">
        <v>17188719200</v>
      </c>
      <c r="F24" s="19" t="s">
        <v>116</v>
      </c>
      <c r="G24" s="20" t="s">
        <v>114</v>
      </c>
      <c r="H24" s="21">
        <v>4.7</v>
      </c>
      <c r="I24" s="21">
        <v>3</v>
      </c>
      <c r="J24" s="20" t="s">
        <v>114</v>
      </c>
      <c r="K24" s="20" t="s">
        <v>613</v>
      </c>
      <c r="L24" s="21">
        <v>0.93</v>
      </c>
      <c r="M24" s="20"/>
      <c r="N24" s="20"/>
    </row>
    <row r="25" spans="1:14" ht="15.75" customHeight="1">
      <c r="A25" s="21">
        <v>48</v>
      </c>
      <c r="B25" s="20" t="s">
        <v>25</v>
      </c>
      <c r="C25" s="20" t="s">
        <v>26</v>
      </c>
      <c r="D25" s="20" t="s">
        <v>117</v>
      </c>
      <c r="E25" s="22">
        <v>12122458708</v>
      </c>
      <c r="F25" s="19" t="s">
        <v>118</v>
      </c>
      <c r="G25" s="20" t="s">
        <v>114</v>
      </c>
      <c r="H25" s="21">
        <v>2.2999999999999998</v>
      </c>
      <c r="I25" s="21">
        <v>37</v>
      </c>
      <c r="J25" s="20" t="s">
        <v>114</v>
      </c>
      <c r="K25" s="20" t="s">
        <v>613</v>
      </c>
      <c r="L25" s="21">
        <v>0.99</v>
      </c>
      <c r="M25" s="20"/>
      <c r="N25" s="20"/>
    </row>
    <row r="26" spans="1:14" ht="15.75" customHeight="1">
      <c r="A26" s="21">
        <v>49</v>
      </c>
      <c r="B26" s="20" t="s">
        <v>25</v>
      </c>
      <c r="C26" s="20" t="s">
        <v>26</v>
      </c>
      <c r="D26" s="20" t="s">
        <v>119</v>
      </c>
      <c r="E26" s="22">
        <v>12122650774</v>
      </c>
      <c r="F26" s="19" t="s">
        <v>120</v>
      </c>
      <c r="G26" s="20" t="s">
        <v>114</v>
      </c>
      <c r="H26" s="21">
        <v>2.6</v>
      </c>
      <c r="I26" s="21">
        <v>93</v>
      </c>
      <c r="J26" s="20" t="s">
        <v>114</v>
      </c>
      <c r="K26" s="20" t="s">
        <v>613</v>
      </c>
      <c r="L26" s="21">
        <v>0.77</v>
      </c>
      <c r="M26" s="20"/>
      <c r="N26" s="20"/>
    </row>
    <row r="27" spans="1:14" ht="14.4">
      <c r="A27" s="21">
        <v>50</v>
      </c>
      <c r="B27" s="20" t="s">
        <v>25</v>
      </c>
      <c r="C27" s="20" t="s">
        <v>26</v>
      </c>
      <c r="D27" s="20" t="s">
        <v>121</v>
      </c>
      <c r="E27" s="22">
        <v>16468239289</v>
      </c>
      <c r="F27" s="19" t="s">
        <v>122</v>
      </c>
      <c r="G27" s="20" t="s">
        <v>114</v>
      </c>
      <c r="H27" s="21">
        <v>3.9</v>
      </c>
      <c r="I27" s="21">
        <v>14</v>
      </c>
      <c r="J27" s="20" t="s">
        <v>114</v>
      </c>
      <c r="K27" s="20" t="s">
        <v>613</v>
      </c>
      <c r="L27" s="21">
        <v>1</v>
      </c>
      <c r="M27" s="20"/>
      <c r="N27" s="20"/>
    </row>
    <row r="28" spans="1:14" ht="14.4">
      <c r="A28" s="21">
        <v>51</v>
      </c>
      <c r="B28" s="20" t="s">
        <v>25</v>
      </c>
      <c r="C28" s="20" t="s">
        <v>26</v>
      </c>
      <c r="D28" s="20" t="s">
        <v>123</v>
      </c>
      <c r="E28" s="22">
        <v>18777275464</v>
      </c>
      <c r="F28" s="19" t="s">
        <v>124</v>
      </c>
      <c r="G28" s="20" t="s">
        <v>114</v>
      </c>
      <c r="H28" s="21">
        <v>3</v>
      </c>
      <c r="I28" s="21">
        <v>97</v>
      </c>
      <c r="J28" s="20" t="s">
        <v>114</v>
      </c>
      <c r="K28" s="20" t="s">
        <v>613</v>
      </c>
      <c r="L28" s="21">
        <v>0.77</v>
      </c>
      <c r="M28" s="20"/>
      <c r="N28" s="20"/>
    </row>
    <row r="29" spans="1:14" ht="14.4">
      <c r="A29" s="21">
        <v>52</v>
      </c>
      <c r="B29" s="20" t="s">
        <v>25</v>
      </c>
      <c r="C29" s="20" t="s">
        <v>26</v>
      </c>
      <c r="D29" s="20" t="s">
        <v>125</v>
      </c>
      <c r="E29" s="22">
        <v>12125484370</v>
      </c>
      <c r="F29" s="19" t="s">
        <v>126</v>
      </c>
      <c r="G29" s="20" t="s">
        <v>114</v>
      </c>
      <c r="H29" s="21">
        <v>4.5</v>
      </c>
      <c r="I29" s="21">
        <v>162</v>
      </c>
      <c r="J29" s="20" t="s">
        <v>114</v>
      </c>
      <c r="K29" s="20" t="s">
        <v>613</v>
      </c>
      <c r="L29" s="21">
        <v>0.78</v>
      </c>
      <c r="M29" s="20"/>
      <c r="N29" s="20"/>
    </row>
    <row r="30" spans="1:14" ht="14.4">
      <c r="A30" s="21">
        <v>53</v>
      </c>
      <c r="B30" s="20" t="s">
        <v>25</v>
      </c>
      <c r="C30" s="20" t="s">
        <v>26</v>
      </c>
      <c r="D30" s="20" t="s">
        <v>127</v>
      </c>
      <c r="E30" s="22">
        <v>12127220066</v>
      </c>
      <c r="F30" s="19" t="s">
        <v>128</v>
      </c>
      <c r="G30" s="20" t="s">
        <v>114</v>
      </c>
      <c r="H30" s="21">
        <v>4.7</v>
      </c>
      <c r="I30" s="21">
        <v>10</v>
      </c>
      <c r="J30" s="20" t="s">
        <v>114</v>
      </c>
      <c r="K30" s="20" t="s">
        <v>613</v>
      </c>
      <c r="L30" s="21">
        <v>0.72</v>
      </c>
      <c r="M30" s="20"/>
      <c r="N30" s="20"/>
    </row>
    <row r="31" spans="1:14" ht="14.4">
      <c r="A31" s="21">
        <v>54</v>
      </c>
      <c r="B31" s="20" t="s">
        <v>25</v>
      </c>
      <c r="C31" s="20" t="s">
        <v>26</v>
      </c>
      <c r="D31" s="20" t="s">
        <v>129</v>
      </c>
      <c r="E31" s="22">
        <v>12122429791</v>
      </c>
      <c r="F31" s="19" t="s">
        <v>130</v>
      </c>
      <c r="G31" s="20" t="s">
        <v>114</v>
      </c>
      <c r="H31" s="21">
        <v>3.2</v>
      </c>
      <c r="I31" s="21">
        <v>38</v>
      </c>
      <c r="J31" s="20" t="s">
        <v>114</v>
      </c>
      <c r="K31" s="20" t="s">
        <v>613</v>
      </c>
      <c r="L31" s="21">
        <v>1</v>
      </c>
      <c r="M31" s="20"/>
      <c r="N31" s="20"/>
    </row>
    <row r="32" spans="1:14" ht="14.4">
      <c r="A32" s="21">
        <v>70</v>
      </c>
      <c r="B32" s="20" t="s">
        <v>25</v>
      </c>
      <c r="C32" s="20" t="s">
        <v>26</v>
      </c>
      <c r="D32" s="20" t="s">
        <v>161</v>
      </c>
      <c r="E32" s="22">
        <v>19174091992</v>
      </c>
      <c r="F32" s="19" t="s">
        <v>162</v>
      </c>
      <c r="G32" s="20" t="s">
        <v>114</v>
      </c>
      <c r="H32" s="21">
        <v>1.2</v>
      </c>
      <c r="I32" s="21">
        <v>25</v>
      </c>
      <c r="J32" s="20" t="s">
        <v>114</v>
      </c>
      <c r="K32" s="20" t="s">
        <v>613</v>
      </c>
      <c r="L32" s="21">
        <v>1</v>
      </c>
      <c r="M32" s="20"/>
      <c r="N32" s="20"/>
    </row>
    <row r="33" spans="1:14" ht="14.4">
      <c r="A33" s="21">
        <v>71</v>
      </c>
      <c r="B33" s="20" t="s">
        <v>25</v>
      </c>
      <c r="C33" s="20" t="s">
        <v>26</v>
      </c>
      <c r="D33" s="20" t="s">
        <v>163</v>
      </c>
      <c r="E33" s="22">
        <v>19177451148</v>
      </c>
      <c r="F33" s="19" t="s">
        <v>164</v>
      </c>
      <c r="G33" s="20" t="s">
        <v>114</v>
      </c>
      <c r="H33" s="21">
        <v>3.3</v>
      </c>
      <c r="I33" s="21">
        <v>19</v>
      </c>
      <c r="J33" s="20" t="s">
        <v>114</v>
      </c>
      <c r="K33" s="20" t="s">
        <v>613</v>
      </c>
      <c r="L33" s="21">
        <v>1</v>
      </c>
      <c r="M33" s="20"/>
      <c r="N33" s="20"/>
    </row>
    <row r="34" spans="1:14" ht="14.4">
      <c r="A34" s="21">
        <v>72</v>
      </c>
      <c r="B34" s="20" t="s">
        <v>25</v>
      </c>
      <c r="C34" s="20" t="s">
        <v>26</v>
      </c>
      <c r="D34" s="20" t="s">
        <v>165</v>
      </c>
      <c r="E34" s="22">
        <v>12123682579</v>
      </c>
      <c r="F34" s="19" t="s">
        <v>166</v>
      </c>
      <c r="G34" s="20" t="s">
        <v>114</v>
      </c>
      <c r="H34" s="21">
        <v>2.8</v>
      </c>
      <c r="I34" s="21">
        <v>5</v>
      </c>
      <c r="J34" s="20" t="s">
        <v>114</v>
      </c>
      <c r="K34" s="20" t="s">
        <v>613</v>
      </c>
      <c r="L34" s="21">
        <v>1</v>
      </c>
      <c r="M34" s="20"/>
      <c r="N34" s="20"/>
    </row>
    <row r="35" spans="1:14" ht="14.4">
      <c r="A35" s="21">
        <v>73</v>
      </c>
      <c r="B35" s="20" t="s">
        <v>25</v>
      </c>
      <c r="C35" s="20" t="s">
        <v>26</v>
      </c>
      <c r="D35" s="20" t="s">
        <v>167</v>
      </c>
      <c r="E35" s="22">
        <v>18008366666</v>
      </c>
      <c r="F35" s="19" t="s">
        <v>168</v>
      </c>
      <c r="G35" s="20" t="s">
        <v>114</v>
      </c>
      <c r="H35" s="21">
        <v>3.6</v>
      </c>
      <c r="I35" s="21">
        <v>40</v>
      </c>
      <c r="J35" s="20" t="s">
        <v>114</v>
      </c>
      <c r="K35" s="20" t="s">
        <v>613</v>
      </c>
      <c r="L35" s="21">
        <v>0.96</v>
      </c>
      <c r="M35" s="20"/>
      <c r="N35" s="20"/>
    </row>
    <row r="36" spans="1:14" ht="14.4">
      <c r="A36" s="21">
        <v>74</v>
      </c>
      <c r="B36" s="20" t="s">
        <v>25</v>
      </c>
      <c r="C36" s="20" t="s">
        <v>26</v>
      </c>
      <c r="D36" s="20" t="s">
        <v>169</v>
      </c>
      <c r="E36" s="22">
        <v>13323319247</v>
      </c>
      <c r="F36" s="19" t="s">
        <v>170</v>
      </c>
      <c r="G36" s="20" t="s">
        <v>114</v>
      </c>
      <c r="H36" s="21">
        <v>5</v>
      </c>
      <c r="I36" s="21">
        <v>13</v>
      </c>
      <c r="J36" s="20" t="s">
        <v>114</v>
      </c>
      <c r="K36" s="20" t="s">
        <v>613</v>
      </c>
      <c r="L36" s="21">
        <v>1</v>
      </c>
      <c r="M36" s="20"/>
      <c r="N36" s="20"/>
    </row>
    <row r="37" spans="1:14" ht="14.4">
      <c r="A37" s="21">
        <v>90</v>
      </c>
      <c r="B37" s="20" t="s">
        <v>25</v>
      </c>
      <c r="C37" s="20" t="s">
        <v>26</v>
      </c>
      <c r="D37" s="20" t="s">
        <v>201</v>
      </c>
      <c r="E37" s="22">
        <v>19184427243</v>
      </c>
      <c r="F37" s="19" t="s">
        <v>202</v>
      </c>
      <c r="G37" s="20" t="s">
        <v>114</v>
      </c>
      <c r="H37" s="21">
        <v>5</v>
      </c>
      <c r="I37" s="21">
        <v>10</v>
      </c>
      <c r="J37" s="20" t="s">
        <v>114</v>
      </c>
      <c r="K37" s="20" t="s">
        <v>613</v>
      </c>
      <c r="L37" s="21">
        <v>1</v>
      </c>
      <c r="M37" s="20"/>
      <c r="N37" s="20"/>
    </row>
    <row r="38" spans="1:14" ht="14.4">
      <c r="A38" s="21">
        <v>91</v>
      </c>
      <c r="B38" s="20" t="s">
        <v>25</v>
      </c>
      <c r="C38" s="20" t="s">
        <v>26</v>
      </c>
      <c r="D38" s="20" t="s">
        <v>203</v>
      </c>
      <c r="E38" s="22">
        <v>12122498960</v>
      </c>
      <c r="F38" s="19" t="s">
        <v>204</v>
      </c>
      <c r="G38" s="20" t="s">
        <v>114</v>
      </c>
      <c r="H38" s="21">
        <v>1.9</v>
      </c>
      <c r="I38" s="21">
        <v>8</v>
      </c>
      <c r="J38" s="20" t="s">
        <v>114</v>
      </c>
      <c r="K38" s="20" t="s">
        <v>613</v>
      </c>
      <c r="L38" s="21">
        <v>1</v>
      </c>
      <c r="M38" s="20"/>
      <c r="N38" s="20"/>
    </row>
    <row r="39" spans="1:14" ht="14.4">
      <c r="A39" s="21">
        <v>92</v>
      </c>
      <c r="B39" s="20" t="s">
        <v>25</v>
      </c>
      <c r="C39" s="20" t="s">
        <v>26</v>
      </c>
      <c r="D39" s="20" t="s">
        <v>205</v>
      </c>
      <c r="E39" s="22">
        <v>17186398129</v>
      </c>
      <c r="F39" s="19" t="s">
        <v>206</v>
      </c>
      <c r="G39" s="20" t="s">
        <v>114</v>
      </c>
      <c r="H39" s="21">
        <v>3.8</v>
      </c>
      <c r="I39" s="21">
        <v>28</v>
      </c>
      <c r="J39" s="20" t="s">
        <v>114</v>
      </c>
      <c r="K39" s="20" t="s">
        <v>613</v>
      </c>
      <c r="L39" s="21">
        <v>1</v>
      </c>
      <c r="M39" s="20"/>
      <c r="N39" s="20"/>
    </row>
    <row r="40" spans="1:14" ht="14.4">
      <c r="A40" s="21">
        <v>93</v>
      </c>
      <c r="B40" s="20" t="s">
        <v>25</v>
      </c>
      <c r="C40" s="20" t="s">
        <v>26</v>
      </c>
      <c r="D40" s="20" t="s">
        <v>207</v>
      </c>
      <c r="E40" s="22">
        <v>12122193413</v>
      </c>
      <c r="F40" s="19" t="s">
        <v>208</v>
      </c>
      <c r="G40" s="20" t="s">
        <v>114</v>
      </c>
      <c r="H40" s="21">
        <v>3.1</v>
      </c>
      <c r="I40" s="21">
        <v>17</v>
      </c>
      <c r="J40" s="20" t="s">
        <v>114</v>
      </c>
      <c r="K40" s="20" t="s">
        <v>613</v>
      </c>
      <c r="L40" s="21">
        <v>1</v>
      </c>
      <c r="M40" s="20"/>
      <c r="N40" s="20"/>
    </row>
    <row r="41" spans="1:14" ht="14.4">
      <c r="A41" s="21">
        <v>94</v>
      </c>
      <c r="B41" s="20" t="s">
        <v>25</v>
      </c>
      <c r="C41" s="20" t="s">
        <v>26</v>
      </c>
      <c r="D41" s="20" t="s">
        <v>209</v>
      </c>
      <c r="E41" s="22">
        <v>12123217500</v>
      </c>
      <c r="F41" s="19" t="s">
        <v>210</v>
      </c>
      <c r="G41" s="20" t="s">
        <v>114</v>
      </c>
      <c r="H41" s="21">
        <v>3.6</v>
      </c>
      <c r="I41" s="21">
        <v>26</v>
      </c>
      <c r="J41" s="20" t="s">
        <v>114</v>
      </c>
      <c r="K41" s="20" t="s">
        <v>613</v>
      </c>
      <c r="L41" s="21">
        <v>0.99</v>
      </c>
      <c r="M41" s="20"/>
      <c r="N41" s="20"/>
    </row>
    <row r="42" spans="1:14" ht="14.4">
      <c r="A42" s="21">
        <v>109</v>
      </c>
      <c r="B42" s="20" t="s">
        <v>25</v>
      </c>
      <c r="C42" s="20" t="s">
        <v>26</v>
      </c>
      <c r="D42" s="20" t="s">
        <v>240</v>
      </c>
      <c r="E42" s="22">
        <v>12127220762</v>
      </c>
      <c r="F42" s="19" t="s">
        <v>241</v>
      </c>
      <c r="G42" s="20" t="s">
        <v>242</v>
      </c>
      <c r="H42" s="21">
        <v>4</v>
      </c>
      <c r="I42" s="21">
        <v>5</v>
      </c>
      <c r="J42" s="20" t="s">
        <v>242</v>
      </c>
      <c r="K42" s="20" t="s">
        <v>613</v>
      </c>
      <c r="L42" s="21">
        <v>1</v>
      </c>
      <c r="M42" s="20"/>
      <c r="N42" s="20"/>
    </row>
    <row r="43" spans="1:14" ht="14.4">
      <c r="A43" s="21">
        <v>110</v>
      </c>
      <c r="B43" s="20" t="s">
        <v>25</v>
      </c>
      <c r="C43" s="20" t="s">
        <v>26</v>
      </c>
      <c r="D43" s="20" t="s">
        <v>243</v>
      </c>
      <c r="E43" s="22">
        <v>13476831124</v>
      </c>
      <c r="F43" s="19" t="s">
        <v>244</v>
      </c>
      <c r="G43" s="20" t="s">
        <v>242</v>
      </c>
      <c r="H43" s="21">
        <v>4.5</v>
      </c>
      <c r="I43" s="21">
        <v>23</v>
      </c>
      <c r="J43" s="20" t="s">
        <v>242</v>
      </c>
      <c r="K43" s="20" t="s">
        <v>613</v>
      </c>
      <c r="L43" s="21">
        <v>1</v>
      </c>
      <c r="M43" s="20"/>
      <c r="N43" s="20"/>
    </row>
    <row r="44" spans="1:14" ht="14.4">
      <c r="A44" s="21">
        <v>111</v>
      </c>
      <c r="B44" s="20" t="s">
        <v>25</v>
      </c>
      <c r="C44" s="20" t="s">
        <v>26</v>
      </c>
      <c r="D44" s="20" t="s">
        <v>245</v>
      </c>
      <c r="E44" s="22">
        <v>12123962210</v>
      </c>
      <c r="F44" s="19" t="s">
        <v>246</v>
      </c>
      <c r="G44" s="20" t="s">
        <v>242</v>
      </c>
      <c r="H44" s="21">
        <v>3.9</v>
      </c>
      <c r="I44" s="21">
        <v>7</v>
      </c>
      <c r="J44" s="20" t="s">
        <v>242</v>
      </c>
      <c r="K44" s="20" t="s">
        <v>613</v>
      </c>
      <c r="L44" s="21">
        <v>1</v>
      </c>
      <c r="M44" s="20"/>
      <c r="N44" s="20"/>
    </row>
    <row r="45" spans="1:14" ht="14.4">
      <c r="A45" s="21">
        <v>112</v>
      </c>
      <c r="B45" s="20" t="s">
        <v>25</v>
      </c>
      <c r="C45" s="20" t="s">
        <v>26</v>
      </c>
      <c r="D45" s="20" t="s">
        <v>247</v>
      </c>
      <c r="E45" s="22">
        <v>12122886035</v>
      </c>
      <c r="F45" s="19" t="s">
        <v>248</v>
      </c>
      <c r="G45" s="20" t="s">
        <v>242</v>
      </c>
      <c r="H45" s="21">
        <v>4.0999999999999996</v>
      </c>
      <c r="I45" s="21">
        <v>15</v>
      </c>
      <c r="J45" s="20" t="s">
        <v>242</v>
      </c>
      <c r="K45" s="20" t="s">
        <v>613</v>
      </c>
      <c r="L45" s="21">
        <v>0.87</v>
      </c>
      <c r="M45" s="20"/>
      <c r="N45" s="20"/>
    </row>
    <row r="46" spans="1:14" ht="14.4">
      <c r="A46" s="21">
        <v>113</v>
      </c>
      <c r="B46" s="20" t="s">
        <v>25</v>
      </c>
      <c r="C46" s="20" t="s">
        <v>26</v>
      </c>
      <c r="D46" s="20" t="s">
        <v>249</v>
      </c>
      <c r="E46" s="22">
        <v>16465245166</v>
      </c>
      <c r="F46" s="19" t="s">
        <v>250</v>
      </c>
      <c r="G46" s="20" t="s">
        <v>242</v>
      </c>
      <c r="H46" s="21">
        <v>4.0999999999999996</v>
      </c>
      <c r="I46" s="21">
        <v>30</v>
      </c>
      <c r="J46" s="20" t="s">
        <v>242</v>
      </c>
      <c r="K46" s="20" t="s">
        <v>613</v>
      </c>
      <c r="L46" s="21">
        <v>0.85</v>
      </c>
      <c r="M46" s="20"/>
      <c r="N46" s="20"/>
    </row>
    <row r="47" spans="1:14" ht="14.4">
      <c r="A47" s="21">
        <v>129</v>
      </c>
      <c r="B47" s="20" t="s">
        <v>25</v>
      </c>
      <c r="C47" s="20" t="s">
        <v>26</v>
      </c>
      <c r="D47" s="20" t="s">
        <v>280</v>
      </c>
      <c r="E47" s="22">
        <v>13476009073</v>
      </c>
      <c r="F47" s="19" t="s">
        <v>281</v>
      </c>
      <c r="G47" s="20" t="s">
        <v>282</v>
      </c>
      <c r="H47" s="21">
        <v>4.5999999999999996</v>
      </c>
      <c r="I47" s="21">
        <v>19</v>
      </c>
      <c r="J47" s="20" t="s">
        <v>282</v>
      </c>
      <c r="K47" s="20" t="s">
        <v>613</v>
      </c>
      <c r="L47" s="21">
        <v>0.99</v>
      </c>
      <c r="M47" s="20"/>
      <c r="N47" s="20"/>
    </row>
    <row r="48" spans="1:14" ht="14.4">
      <c r="A48" s="21">
        <v>130</v>
      </c>
      <c r="B48" s="20" t="s">
        <v>25</v>
      </c>
      <c r="C48" s="20" t="s">
        <v>26</v>
      </c>
      <c r="D48" s="20" t="s">
        <v>614</v>
      </c>
      <c r="E48" s="22">
        <v>12122330288</v>
      </c>
      <c r="F48" s="19" t="s">
        <v>284</v>
      </c>
      <c r="G48" s="20" t="s">
        <v>282</v>
      </c>
      <c r="H48" s="21">
        <v>4.5999999999999996</v>
      </c>
      <c r="I48" s="21">
        <v>121</v>
      </c>
      <c r="J48" s="20" t="s">
        <v>282</v>
      </c>
      <c r="K48" s="20" t="s">
        <v>613</v>
      </c>
      <c r="L48" s="21">
        <v>0.75</v>
      </c>
      <c r="M48" s="20"/>
      <c r="N48" s="20"/>
    </row>
    <row r="49" spans="1:14" ht="14.4">
      <c r="A49" s="21">
        <v>131</v>
      </c>
      <c r="B49" s="20" t="s">
        <v>25</v>
      </c>
      <c r="C49" s="20" t="s">
        <v>26</v>
      </c>
      <c r="D49" s="20" t="s">
        <v>285</v>
      </c>
      <c r="E49" s="22">
        <v>16468959312</v>
      </c>
      <c r="F49" s="19" t="s">
        <v>286</v>
      </c>
      <c r="G49" s="20" t="s">
        <v>56</v>
      </c>
      <c r="H49" s="21">
        <v>4</v>
      </c>
      <c r="I49" s="21">
        <v>42</v>
      </c>
      <c r="J49" s="20" t="s">
        <v>56</v>
      </c>
      <c r="K49" s="20" t="s">
        <v>613</v>
      </c>
      <c r="L49" s="21">
        <v>0.91</v>
      </c>
      <c r="M49" s="20"/>
      <c r="N49" s="20"/>
    </row>
    <row r="50" spans="1:14" ht="14.4">
      <c r="A50" s="21">
        <v>132</v>
      </c>
      <c r="B50" s="20" t="s">
        <v>25</v>
      </c>
      <c r="C50" s="20" t="s">
        <v>26</v>
      </c>
      <c r="D50" s="20" t="s">
        <v>287</v>
      </c>
      <c r="E50" s="22">
        <v>19178252564</v>
      </c>
      <c r="F50" s="19" t="s">
        <v>288</v>
      </c>
      <c r="G50" s="20" t="s">
        <v>609</v>
      </c>
      <c r="H50" s="21">
        <v>5</v>
      </c>
      <c r="I50" s="21">
        <v>5</v>
      </c>
      <c r="J50" s="20" t="s">
        <v>609</v>
      </c>
      <c r="K50" s="20" t="s">
        <v>613</v>
      </c>
      <c r="L50" s="21">
        <v>1</v>
      </c>
      <c r="M50" s="20"/>
      <c r="N50" s="20"/>
    </row>
    <row r="51" spans="1:14" ht="14.4">
      <c r="A51" s="21">
        <v>133</v>
      </c>
      <c r="B51" s="20" t="s">
        <v>25</v>
      </c>
      <c r="C51" s="20" t="s">
        <v>26</v>
      </c>
      <c r="D51" s="20" t="s">
        <v>289</v>
      </c>
      <c r="E51" s="22">
        <v>16466092199</v>
      </c>
      <c r="F51" s="19" t="s">
        <v>290</v>
      </c>
      <c r="G51" s="20" t="s">
        <v>29</v>
      </c>
      <c r="H51" s="21">
        <v>4.8</v>
      </c>
      <c r="I51" s="21">
        <v>250</v>
      </c>
      <c r="J51" s="20" t="s">
        <v>29</v>
      </c>
      <c r="K51" s="20" t="s">
        <v>613</v>
      </c>
      <c r="L51" s="21">
        <v>0.96</v>
      </c>
      <c r="M51" s="20"/>
      <c r="N51" s="20"/>
    </row>
    <row r="52" spans="1:14" ht="14.4">
      <c r="A52" s="21">
        <v>149</v>
      </c>
      <c r="B52" s="20" t="s">
        <v>25</v>
      </c>
      <c r="C52" s="20" t="s">
        <v>26</v>
      </c>
      <c r="D52" s="20" t="s">
        <v>321</v>
      </c>
      <c r="E52" s="22">
        <v>12127222680</v>
      </c>
      <c r="F52" s="19" t="s">
        <v>322</v>
      </c>
      <c r="G52" s="20" t="s">
        <v>56</v>
      </c>
      <c r="H52" s="21">
        <v>4.3</v>
      </c>
      <c r="I52" s="21">
        <v>114</v>
      </c>
      <c r="J52" s="20" t="s">
        <v>56</v>
      </c>
      <c r="K52" s="20" t="s">
        <v>613</v>
      </c>
      <c r="L52" s="21">
        <v>0.82</v>
      </c>
      <c r="M52" s="20"/>
      <c r="N52" s="20"/>
    </row>
    <row r="53" spans="1:14" ht="14.4">
      <c r="A53" s="21">
        <v>150</v>
      </c>
      <c r="B53" s="20" t="s">
        <v>25</v>
      </c>
      <c r="C53" s="20" t="s">
        <v>26</v>
      </c>
      <c r="D53" s="20" t="s">
        <v>323</v>
      </c>
      <c r="E53" s="22">
        <v>12124144300</v>
      </c>
      <c r="F53" s="19" t="s">
        <v>324</v>
      </c>
      <c r="G53" s="20" t="s">
        <v>325</v>
      </c>
      <c r="H53" s="21">
        <v>3.7</v>
      </c>
      <c r="I53" s="21">
        <v>38</v>
      </c>
      <c r="J53" s="20" t="s">
        <v>325</v>
      </c>
      <c r="K53" s="20" t="s">
        <v>613</v>
      </c>
      <c r="L53" s="21">
        <v>1</v>
      </c>
      <c r="M53" s="20"/>
      <c r="N53" s="20"/>
    </row>
    <row r="54" spans="1:14" ht="14.4">
      <c r="A54" s="21">
        <v>151</v>
      </c>
      <c r="B54" s="20" t="s">
        <v>25</v>
      </c>
      <c r="C54" s="20" t="s">
        <v>26</v>
      </c>
      <c r="D54" s="20" t="s">
        <v>326</v>
      </c>
      <c r="E54" s="22">
        <v>12122219463</v>
      </c>
      <c r="F54" s="19" t="s">
        <v>327</v>
      </c>
      <c r="G54" s="20" t="s">
        <v>325</v>
      </c>
      <c r="H54" s="21">
        <v>4.0999999999999996</v>
      </c>
      <c r="I54" s="21">
        <v>160</v>
      </c>
      <c r="J54" s="20" t="s">
        <v>325</v>
      </c>
      <c r="K54" s="20" t="s">
        <v>613</v>
      </c>
      <c r="L54" s="21">
        <v>0.93</v>
      </c>
      <c r="M54" s="20"/>
      <c r="N54" s="20"/>
    </row>
    <row r="55" spans="1:14" ht="14.4">
      <c r="A55" s="21">
        <v>152</v>
      </c>
      <c r="B55" s="20" t="s">
        <v>25</v>
      </c>
      <c r="C55" s="20" t="s">
        <v>26</v>
      </c>
      <c r="D55" s="20" t="s">
        <v>328</v>
      </c>
      <c r="E55" s="22">
        <v>12126855151</v>
      </c>
      <c r="F55" s="19" t="s">
        <v>329</v>
      </c>
      <c r="G55" s="20" t="s">
        <v>325</v>
      </c>
      <c r="H55" s="21">
        <v>4.0999999999999996</v>
      </c>
      <c r="I55" s="21">
        <v>45</v>
      </c>
      <c r="J55" s="20" t="s">
        <v>325</v>
      </c>
      <c r="K55" s="20" t="s">
        <v>613</v>
      </c>
      <c r="L55" s="21">
        <v>0.92</v>
      </c>
      <c r="M55" s="20"/>
      <c r="N55" s="20"/>
    </row>
    <row r="56" spans="1:14" ht="14.4">
      <c r="A56" s="21">
        <v>153</v>
      </c>
      <c r="B56" s="20" t="s">
        <v>25</v>
      </c>
      <c r="C56" s="20" t="s">
        <v>26</v>
      </c>
      <c r="D56" s="20" t="s">
        <v>330</v>
      </c>
      <c r="E56" s="22">
        <v>12126751813</v>
      </c>
      <c r="F56" s="19" t="s">
        <v>331</v>
      </c>
      <c r="G56" s="20" t="s">
        <v>325</v>
      </c>
      <c r="H56" s="21">
        <v>4.5</v>
      </c>
      <c r="I56" s="21">
        <v>65</v>
      </c>
      <c r="J56" s="20" t="s">
        <v>325</v>
      </c>
      <c r="K56" s="20" t="s">
        <v>613</v>
      </c>
      <c r="L56" s="21">
        <v>0.96</v>
      </c>
      <c r="M56" s="20"/>
      <c r="N56" s="20"/>
    </row>
    <row r="57" spans="1:14" ht="14.4">
      <c r="A57" s="21">
        <v>170</v>
      </c>
      <c r="B57" s="20" t="s">
        <v>25</v>
      </c>
      <c r="C57" s="20" t="s">
        <v>26</v>
      </c>
      <c r="D57" s="20" t="s">
        <v>363</v>
      </c>
      <c r="E57" s="22">
        <v>12127794422</v>
      </c>
      <c r="F57" s="19" t="s">
        <v>364</v>
      </c>
      <c r="G57" s="20" t="s">
        <v>325</v>
      </c>
      <c r="H57" s="21">
        <v>4.5999999999999996</v>
      </c>
      <c r="I57" s="21">
        <v>66</v>
      </c>
      <c r="J57" s="20" t="s">
        <v>325</v>
      </c>
      <c r="K57" s="20" t="s">
        <v>613</v>
      </c>
      <c r="L57" s="21">
        <v>0.92</v>
      </c>
      <c r="M57" s="20"/>
      <c r="N57" s="20"/>
    </row>
    <row r="58" spans="1:14" ht="14.4">
      <c r="A58" s="21">
        <v>171</v>
      </c>
      <c r="B58" s="20" t="s">
        <v>25</v>
      </c>
      <c r="C58" s="20" t="s">
        <v>26</v>
      </c>
      <c r="D58" s="20" t="s">
        <v>365</v>
      </c>
      <c r="E58" s="22">
        <v>12126436789</v>
      </c>
      <c r="F58" s="19" t="s">
        <v>366</v>
      </c>
      <c r="G58" s="20" t="s">
        <v>325</v>
      </c>
      <c r="H58" s="21">
        <v>4</v>
      </c>
      <c r="I58" s="21">
        <v>135</v>
      </c>
      <c r="J58" s="20" t="s">
        <v>325</v>
      </c>
      <c r="K58" s="20" t="s">
        <v>613</v>
      </c>
      <c r="L58" s="21">
        <v>0.9</v>
      </c>
      <c r="M58" s="20"/>
      <c r="N58" s="20"/>
    </row>
    <row r="59" spans="1:14" ht="14.4">
      <c r="A59" s="21">
        <v>172</v>
      </c>
      <c r="B59" s="20" t="s">
        <v>25</v>
      </c>
      <c r="C59" s="20" t="s">
        <v>26</v>
      </c>
      <c r="D59" s="20" t="s">
        <v>367</v>
      </c>
      <c r="E59" s="22">
        <v>12129621993</v>
      </c>
      <c r="F59" s="19" t="s">
        <v>368</v>
      </c>
      <c r="G59" s="20" t="s">
        <v>325</v>
      </c>
      <c r="H59" s="21">
        <v>4.0999999999999996</v>
      </c>
      <c r="I59" s="21">
        <v>80</v>
      </c>
      <c r="J59" s="20" t="s">
        <v>325</v>
      </c>
      <c r="K59" s="20" t="s">
        <v>613</v>
      </c>
      <c r="L59" s="21">
        <v>1</v>
      </c>
      <c r="M59" s="20"/>
      <c r="N59" s="20"/>
    </row>
    <row r="60" spans="1:14" ht="14.4">
      <c r="A60" s="21">
        <v>173</v>
      </c>
      <c r="B60" s="20" t="s">
        <v>25</v>
      </c>
      <c r="C60" s="20" t="s">
        <v>26</v>
      </c>
      <c r="D60" s="20" t="s">
        <v>369</v>
      </c>
      <c r="E60" s="22">
        <v>12122190521</v>
      </c>
      <c r="F60" s="19" t="s">
        <v>370</v>
      </c>
      <c r="G60" s="20" t="s">
        <v>325</v>
      </c>
      <c r="H60" s="21">
        <v>3.7</v>
      </c>
      <c r="I60" s="21">
        <v>28</v>
      </c>
      <c r="J60" s="20" t="s">
        <v>325</v>
      </c>
      <c r="K60" s="20" t="s">
        <v>613</v>
      </c>
      <c r="L60" s="21">
        <v>1</v>
      </c>
      <c r="M60" s="20"/>
      <c r="N60" s="20"/>
    </row>
    <row r="61" spans="1:14" ht="14.4">
      <c r="A61" s="21">
        <v>174</v>
      </c>
      <c r="B61" s="20" t="s">
        <v>25</v>
      </c>
      <c r="C61" s="20" t="s">
        <v>26</v>
      </c>
      <c r="D61" s="20" t="s">
        <v>371</v>
      </c>
      <c r="E61" s="22">
        <v>12128288839</v>
      </c>
      <c r="F61" s="19" t="s">
        <v>372</v>
      </c>
      <c r="G61" s="20" t="s">
        <v>325</v>
      </c>
      <c r="H61" s="21">
        <v>4.5</v>
      </c>
      <c r="I61" s="21">
        <v>56</v>
      </c>
      <c r="J61" s="20" t="s">
        <v>325</v>
      </c>
      <c r="K61" s="20" t="s">
        <v>613</v>
      </c>
      <c r="L61" s="21">
        <v>1</v>
      </c>
      <c r="M61" s="20"/>
      <c r="N61" s="20"/>
    </row>
    <row r="62" spans="1:14" ht="14.4">
      <c r="A62" s="21">
        <v>190</v>
      </c>
      <c r="B62" s="20" t="s">
        <v>25</v>
      </c>
      <c r="C62" s="20" t="s">
        <v>26</v>
      </c>
      <c r="D62" s="20" t="s">
        <v>401</v>
      </c>
      <c r="E62" s="22">
        <v>15486006980</v>
      </c>
      <c r="F62" s="19" t="s">
        <v>402</v>
      </c>
      <c r="G62" s="20" t="s">
        <v>615</v>
      </c>
      <c r="H62" s="21">
        <v>0</v>
      </c>
      <c r="I62" s="21">
        <v>0</v>
      </c>
      <c r="J62" s="20" t="s">
        <v>615</v>
      </c>
      <c r="K62" s="20" t="s">
        <v>613</v>
      </c>
      <c r="L62" s="20"/>
      <c r="M62" s="20"/>
      <c r="N62" s="20"/>
    </row>
    <row r="63" spans="1:14" ht="14.4">
      <c r="A63" s="21">
        <v>191</v>
      </c>
      <c r="B63" s="20" t="s">
        <v>25</v>
      </c>
      <c r="C63" s="20" t="s">
        <v>26</v>
      </c>
      <c r="D63" s="20" t="s">
        <v>40</v>
      </c>
      <c r="E63" s="22">
        <v>12126088866</v>
      </c>
      <c r="F63" s="19" t="s">
        <v>404</v>
      </c>
      <c r="G63" s="20" t="s">
        <v>29</v>
      </c>
      <c r="H63" s="21">
        <v>4.5999999999999996</v>
      </c>
      <c r="I63" s="21">
        <v>17</v>
      </c>
      <c r="J63" s="20" t="s">
        <v>29</v>
      </c>
      <c r="K63" s="20" t="s">
        <v>613</v>
      </c>
      <c r="L63" s="21">
        <v>0.99</v>
      </c>
      <c r="M63" s="20"/>
      <c r="N63" s="20"/>
    </row>
    <row r="64" spans="1:14" ht="14.4">
      <c r="A64" s="21">
        <v>192</v>
      </c>
      <c r="B64" s="20" t="s">
        <v>25</v>
      </c>
      <c r="C64" s="20" t="s">
        <v>26</v>
      </c>
      <c r="D64" s="20" t="s">
        <v>405</v>
      </c>
      <c r="E64" s="22">
        <v>12124310099</v>
      </c>
      <c r="F64" s="19" t="s">
        <v>406</v>
      </c>
      <c r="G64" s="20" t="s">
        <v>407</v>
      </c>
      <c r="H64" s="21">
        <v>4.7</v>
      </c>
      <c r="I64" s="21">
        <v>80</v>
      </c>
      <c r="J64" s="20" t="s">
        <v>407</v>
      </c>
      <c r="K64" s="20" t="s">
        <v>613</v>
      </c>
      <c r="L64" s="21">
        <v>1</v>
      </c>
      <c r="M64" s="20"/>
      <c r="N64" s="20"/>
    </row>
    <row r="65" spans="1:14" ht="14.4">
      <c r="A65" s="21">
        <v>193</v>
      </c>
      <c r="B65" s="20" t="s">
        <v>25</v>
      </c>
      <c r="C65" s="20" t="s">
        <v>26</v>
      </c>
      <c r="D65" s="20" t="s">
        <v>330</v>
      </c>
      <c r="E65" s="22">
        <v>12126751813</v>
      </c>
      <c r="F65" s="19" t="s">
        <v>408</v>
      </c>
      <c r="G65" s="20" t="s">
        <v>325</v>
      </c>
      <c r="H65" s="21">
        <v>4.5</v>
      </c>
      <c r="I65" s="21">
        <v>65</v>
      </c>
      <c r="J65" s="20" t="s">
        <v>325</v>
      </c>
      <c r="K65" s="20" t="s">
        <v>613</v>
      </c>
      <c r="L65" s="21">
        <v>0.96</v>
      </c>
      <c r="M65" s="20"/>
      <c r="N65" s="20"/>
    </row>
    <row r="66" spans="1:14" ht="14.4">
      <c r="A66" s="21">
        <v>194</v>
      </c>
      <c r="B66" s="20" t="s">
        <v>25</v>
      </c>
      <c r="C66" s="20" t="s">
        <v>26</v>
      </c>
      <c r="D66" s="20" t="s">
        <v>616</v>
      </c>
      <c r="E66" s="22">
        <v>12122571600</v>
      </c>
      <c r="F66" s="19" t="s">
        <v>410</v>
      </c>
      <c r="G66" s="20" t="s">
        <v>615</v>
      </c>
      <c r="H66" s="21">
        <v>3.5</v>
      </c>
      <c r="I66" s="21">
        <v>264</v>
      </c>
      <c r="J66" s="20" t="s">
        <v>615</v>
      </c>
      <c r="K66" s="20" t="s">
        <v>613</v>
      </c>
      <c r="L66" s="21">
        <v>0.93</v>
      </c>
      <c r="M66" s="20"/>
      <c r="N66" s="20"/>
    </row>
    <row r="67" spans="1:14" ht="14.4">
      <c r="A67" s="21">
        <v>210</v>
      </c>
      <c r="B67" s="20" t="s">
        <v>25</v>
      </c>
      <c r="C67" s="20" t="s">
        <v>26</v>
      </c>
      <c r="D67" s="20" t="s">
        <v>363</v>
      </c>
      <c r="E67" s="22">
        <v>12127794422</v>
      </c>
      <c r="F67" s="19" t="s">
        <v>364</v>
      </c>
      <c r="G67" s="20" t="s">
        <v>325</v>
      </c>
      <c r="H67" s="21">
        <v>4.5999999999999996</v>
      </c>
      <c r="I67" s="21">
        <v>66</v>
      </c>
      <c r="J67" s="20" t="s">
        <v>325</v>
      </c>
      <c r="K67" s="20" t="s">
        <v>613</v>
      </c>
      <c r="L67" s="21">
        <v>0.92</v>
      </c>
      <c r="M67" s="20"/>
      <c r="N67" s="20"/>
    </row>
    <row r="68" spans="1:14" ht="14.4">
      <c r="A68" s="21">
        <v>211</v>
      </c>
      <c r="B68" s="20" t="s">
        <v>25</v>
      </c>
      <c r="C68" s="20" t="s">
        <v>26</v>
      </c>
      <c r="D68" s="20" t="s">
        <v>365</v>
      </c>
      <c r="E68" s="22">
        <v>12126436789</v>
      </c>
      <c r="F68" s="19" t="s">
        <v>366</v>
      </c>
      <c r="G68" s="20" t="s">
        <v>325</v>
      </c>
      <c r="H68" s="21">
        <v>4</v>
      </c>
      <c r="I68" s="21">
        <v>135</v>
      </c>
      <c r="J68" s="20" t="s">
        <v>325</v>
      </c>
      <c r="K68" s="20" t="s">
        <v>613</v>
      </c>
      <c r="L68" s="21">
        <v>0.9</v>
      </c>
      <c r="M68" s="20"/>
      <c r="N68" s="20"/>
    </row>
    <row r="69" spans="1:14" ht="14.4">
      <c r="A69" s="21">
        <v>212</v>
      </c>
      <c r="B69" s="20" t="s">
        <v>25</v>
      </c>
      <c r="C69" s="20" t="s">
        <v>26</v>
      </c>
      <c r="D69" s="20" t="s">
        <v>367</v>
      </c>
      <c r="E69" s="22">
        <v>12129621993</v>
      </c>
      <c r="F69" s="19" t="s">
        <v>368</v>
      </c>
      <c r="G69" s="20" t="s">
        <v>325</v>
      </c>
      <c r="H69" s="21">
        <v>4.0999999999999996</v>
      </c>
      <c r="I69" s="21">
        <v>80</v>
      </c>
      <c r="J69" s="20" t="s">
        <v>325</v>
      </c>
      <c r="K69" s="20" t="s">
        <v>613</v>
      </c>
      <c r="L69" s="21">
        <v>1</v>
      </c>
      <c r="M69" s="20"/>
      <c r="N69" s="20"/>
    </row>
    <row r="70" spans="1:14" ht="14.4">
      <c r="A70" s="21">
        <v>213</v>
      </c>
      <c r="B70" s="20" t="s">
        <v>25</v>
      </c>
      <c r="C70" s="20" t="s">
        <v>26</v>
      </c>
      <c r="D70" s="20" t="s">
        <v>369</v>
      </c>
      <c r="E70" s="22">
        <v>12122190521</v>
      </c>
      <c r="F70" s="19" t="s">
        <v>370</v>
      </c>
      <c r="G70" s="20" t="s">
        <v>325</v>
      </c>
      <c r="H70" s="21">
        <v>3.7</v>
      </c>
      <c r="I70" s="21">
        <v>28</v>
      </c>
      <c r="J70" s="20" t="s">
        <v>325</v>
      </c>
      <c r="K70" s="20" t="s">
        <v>613</v>
      </c>
      <c r="L70" s="21">
        <v>1</v>
      </c>
      <c r="M70" s="20"/>
      <c r="N70" s="20"/>
    </row>
    <row r="71" spans="1:14" ht="14.4">
      <c r="A71" s="21">
        <v>214</v>
      </c>
      <c r="B71" s="20" t="s">
        <v>25</v>
      </c>
      <c r="C71" s="20" t="s">
        <v>26</v>
      </c>
      <c r="D71" s="20" t="s">
        <v>371</v>
      </c>
      <c r="E71" s="22">
        <v>12128288839</v>
      </c>
      <c r="F71" s="19" t="s">
        <v>372</v>
      </c>
      <c r="G71" s="20" t="s">
        <v>325</v>
      </c>
      <c r="H71" s="21">
        <v>4.5</v>
      </c>
      <c r="I71" s="21">
        <v>56</v>
      </c>
      <c r="J71" s="20" t="s">
        <v>325</v>
      </c>
      <c r="K71" s="20" t="s">
        <v>613</v>
      </c>
      <c r="L71" s="21">
        <v>1</v>
      </c>
      <c r="M71" s="20"/>
      <c r="N71" s="20"/>
    </row>
    <row r="72" spans="1:14" ht="14.4">
      <c r="A72" s="21">
        <v>230</v>
      </c>
      <c r="B72" s="20" t="s">
        <v>25</v>
      </c>
      <c r="C72" s="20" t="s">
        <v>26</v>
      </c>
      <c r="D72" s="20" t="s">
        <v>471</v>
      </c>
      <c r="E72" s="22">
        <v>12126738362</v>
      </c>
      <c r="F72" s="19" t="s">
        <v>472</v>
      </c>
      <c r="G72" s="20" t="s">
        <v>325</v>
      </c>
      <c r="H72" s="21">
        <v>4.3</v>
      </c>
      <c r="I72" s="21">
        <v>15</v>
      </c>
      <c r="J72" s="20" t="s">
        <v>325</v>
      </c>
      <c r="K72" s="20" t="s">
        <v>613</v>
      </c>
      <c r="L72" s="21">
        <v>0.96</v>
      </c>
      <c r="M72" s="20"/>
      <c r="N72" s="20"/>
    </row>
    <row r="73" spans="1:14" ht="14.4">
      <c r="A73" s="21">
        <v>231</v>
      </c>
      <c r="B73" s="20" t="s">
        <v>25</v>
      </c>
      <c r="C73" s="20" t="s">
        <v>26</v>
      </c>
      <c r="D73" s="20" t="s">
        <v>473</v>
      </c>
      <c r="E73" s="22">
        <v>12122460187</v>
      </c>
      <c r="F73" s="19" t="s">
        <v>474</v>
      </c>
      <c r="G73" s="20" t="s">
        <v>325</v>
      </c>
      <c r="H73" s="21">
        <v>2.9</v>
      </c>
      <c r="I73" s="21">
        <v>130</v>
      </c>
      <c r="J73" s="20" t="s">
        <v>325</v>
      </c>
      <c r="K73" s="20" t="s">
        <v>613</v>
      </c>
      <c r="L73" s="21">
        <v>0.74</v>
      </c>
      <c r="M73" s="20"/>
      <c r="N73" s="20"/>
    </row>
    <row r="74" spans="1:14" ht="14.4">
      <c r="A74" s="21">
        <v>232</v>
      </c>
      <c r="B74" s="20" t="s">
        <v>25</v>
      </c>
      <c r="C74" s="20" t="s">
        <v>26</v>
      </c>
      <c r="D74" s="20" t="s">
        <v>475</v>
      </c>
      <c r="E74" s="22">
        <v>12122550854</v>
      </c>
      <c r="F74" s="19" t="s">
        <v>476</v>
      </c>
      <c r="G74" s="20" t="s">
        <v>325</v>
      </c>
      <c r="H74" s="21">
        <v>4.7</v>
      </c>
      <c r="I74" s="21">
        <v>91</v>
      </c>
      <c r="J74" s="20" t="s">
        <v>325</v>
      </c>
      <c r="K74" s="20" t="s">
        <v>613</v>
      </c>
      <c r="L74" s="21">
        <v>0.69</v>
      </c>
      <c r="M74" s="20"/>
      <c r="N74" s="20"/>
    </row>
    <row r="75" spans="1:14" ht="14.4">
      <c r="A75" s="21">
        <v>233</v>
      </c>
      <c r="B75" s="20" t="s">
        <v>25</v>
      </c>
      <c r="C75" s="20" t="s">
        <v>26</v>
      </c>
      <c r="D75" s="20" t="s">
        <v>477</v>
      </c>
      <c r="E75" s="22">
        <v>12125052029</v>
      </c>
      <c r="F75" s="19" t="s">
        <v>478</v>
      </c>
      <c r="G75" s="20" t="s">
        <v>213</v>
      </c>
      <c r="H75" s="21">
        <v>4.4000000000000004</v>
      </c>
      <c r="I75" s="21">
        <v>239</v>
      </c>
      <c r="J75" s="20" t="s">
        <v>213</v>
      </c>
      <c r="K75" s="20" t="s">
        <v>613</v>
      </c>
      <c r="L75" s="21">
        <v>0.81</v>
      </c>
      <c r="M75" s="20"/>
      <c r="N75" s="20"/>
    </row>
    <row r="76" spans="1:14" ht="14.4">
      <c r="A76" s="21">
        <v>234</v>
      </c>
      <c r="B76" s="20" t="s">
        <v>25</v>
      </c>
      <c r="C76" s="20" t="s">
        <v>26</v>
      </c>
      <c r="D76" s="20" t="s">
        <v>479</v>
      </c>
      <c r="E76" s="22">
        <v>19172572263</v>
      </c>
      <c r="F76" s="19" t="s">
        <v>480</v>
      </c>
      <c r="G76" s="20" t="s">
        <v>213</v>
      </c>
      <c r="H76" s="21">
        <v>3.9</v>
      </c>
      <c r="I76" s="21">
        <v>29</v>
      </c>
      <c r="J76" s="20" t="s">
        <v>213</v>
      </c>
      <c r="K76" s="20" t="s">
        <v>613</v>
      </c>
      <c r="L76" s="21">
        <v>1</v>
      </c>
      <c r="M76" s="20"/>
      <c r="N76" s="20"/>
    </row>
    <row r="77" spans="1:14" ht="14.4">
      <c r="A77" s="21">
        <v>250</v>
      </c>
      <c r="B77" s="20" t="s">
        <v>25</v>
      </c>
      <c r="C77" s="20" t="s">
        <v>26</v>
      </c>
      <c r="D77" s="20" t="s">
        <v>512</v>
      </c>
      <c r="E77" s="22">
        <v>12126747341</v>
      </c>
      <c r="F77" s="19" t="s">
        <v>513</v>
      </c>
      <c r="G77" s="20" t="s">
        <v>242</v>
      </c>
      <c r="H77" s="21">
        <v>4.0999999999999996</v>
      </c>
      <c r="I77" s="21">
        <v>172</v>
      </c>
      <c r="J77" s="20" t="s">
        <v>242</v>
      </c>
      <c r="K77" s="20" t="s">
        <v>613</v>
      </c>
      <c r="L77" s="21">
        <v>0.98</v>
      </c>
      <c r="M77" s="20"/>
      <c r="N77" s="20"/>
    </row>
    <row r="78" spans="1:14" ht="14.4">
      <c r="A78" s="21">
        <v>251</v>
      </c>
      <c r="B78" s="20" t="s">
        <v>25</v>
      </c>
      <c r="C78" s="20" t="s">
        <v>26</v>
      </c>
      <c r="D78" s="20" t="s">
        <v>514</v>
      </c>
      <c r="E78" s="22">
        <v>12124774654</v>
      </c>
      <c r="F78" s="19" t="s">
        <v>515</v>
      </c>
      <c r="G78" s="20" t="s">
        <v>242</v>
      </c>
      <c r="H78" s="21">
        <v>4.9000000000000004</v>
      </c>
      <c r="I78" s="21">
        <v>25</v>
      </c>
      <c r="J78" s="20" t="s">
        <v>242</v>
      </c>
      <c r="K78" s="20" t="s">
        <v>613</v>
      </c>
      <c r="L78" s="21">
        <v>0.99</v>
      </c>
      <c r="M78" s="20"/>
      <c r="N78" s="20"/>
    </row>
    <row r="79" spans="1:14" ht="14.4">
      <c r="A79" s="21">
        <v>252</v>
      </c>
      <c r="B79" s="20" t="s">
        <v>25</v>
      </c>
      <c r="C79" s="20" t="s">
        <v>26</v>
      </c>
      <c r="D79" s="20" t="s">
        <v>516</v>
      </c>
      <c r="E79" s="22">
        <v>19179383985</v>
      </c>
      <c r="F79" s="19" t="s">
        <v>517</v>
      </c>
      <c r="G79" s="20" t="s">
        <v>242</v>
      </c>
      <c r="H79" s="21">
        <v>4.5</v>
      </c>
      <c r="I79" s="21">
        <v>51</v>
      </c>
      <c r="J79" s="20" t="s">
        <v>242</v>
      </c>
      <c r="K79" s="20" t="s">
        <v>613</v>
      </c>
      <c r="L79" s="21">
        <v>0.96</v>
      </c>
      <c r="M79" s="20"/>
      <c r="N79" s="20"/>
    </row>
    <row r="80" spans="1:14" ht="14.4">
      <c r="A80" s="21">
        <v>253</v>
      </c>
      <c r="B80" s="20" t="s">
        <v>25</v>
      </c>
      <c r="C80" s="20" t="s">
        <v>26</v>
      </c>
      <c r="D80" s="20" t="s">
        <v>518</v>
      </c>
      <c r="E80" s="22">
        <v>12122283986</v>
      </c>
      <c r="F80" s="19" t="s">
        <v>519</v>
      </c>
      <c r="G80" s="20" t="s">
        <v>242</v>
      </c>
      <c r="H80" s="21">
        <v>4.5999999999999996</v>
      </c>
      <c r="I80" s="21">
        <v>33</v>
      </c>
      <c r="J80" s="20" t="s">
        <v>242</v>
      </c>
      <c r="K80" s="20" t="s">
        <v>613</v>
      </c>
      <c r="L80" s="21">
        <v>1</v>
      </c>
      <c r="M80" s="20"/>
      <c r="N80" s="20"/>
    </row>
    <row r="81" spans="1:14" ht="14.4">
      <c r="A81" s="21">
        <v>254</v>
      </c>
      <c r="B81" s="20" t="s">
        <v>25</v>
      </c>
      <c r="C81" s="20" t="s">
        <v>26</v>
      </c>
      <c r="D81" s="20" t="s">
        <v>520</v>
      </c>
      <c r="E81" s="22">
        <v>16462718905</v>
      </c>
      <c r="F81" s="19" t="s">
        <v>521</v>
      </c>
      <c r="G81" s="20" t="s">
        <v>242</v>
      </c>
      <c r="H81" s="21">
        <v>4.5</v>
      </c>
      <c r="I81" s="21">
        <v>71</v>
      </c>
      <c r="J81" s="20" t="s">
        <v>242</v>
      </c>
      <c r="K81" s="20" t="s">
        <v>613</v>
      </c>
      <c r="L81" s="21">
        <v>1</v>
      </c>
      <c r="M81" s="20"/>
      <c r="N81" s="20"/>
    </row>
    <row r="82" spans="1:14" ht="14.4">
      <c r="A82" s="21">
        <v>270</v>
      </c>
      <c r="B82" s="20" t="s">
        <v>25</v>
      </c>
      <c r="C82" s="20" t="s">
        <v>26</v>
      </c>
      <c r="D82" s="20" t="s">
        <v>552</v>
      </c>
      <c r="E82" s="22">
        <v>12122541151</v>
      </c>
      <c r="F82" s="19" t="s">
        <v>553</v>
      </c>
      <c r="G82" s="20" t="s">
        <v>242</v>
      </c>
      <c r="H82" s="21">
        <v>4.5</v>
      </c>
      <c r="I82" s="21">
        <v>82</v>
      </c>
      <c r="J82" s="20" t="s">
        <v>242</v>
      </c>
      <c r="K82" s="20" t="s">
        <v>613</v>
      </c>
      <c r="L82" s="21">
        <v>1</v>
      </c>
      <c r="M82" s="20"/>
      <c r="N82" s="20"/>
    </row>
    <row r="83" spans="1:14" ht="14.4">
      <c r="A83" s="21">
        <v>271</v>
      </c>
      <c r="B83" s="20" t="s">
        <v>25</v>
      </c>
      <c r="C83" s="20" t="s">
        <v>26</v>
      </c>
      <c r="D83" s="20" t="s">
        <v>554</v>
      </c>
      <c r="E83" s="22">
        <v>12128976543</v>
      </c>
      <c r="F83" s="19" t="s">
        <v>555</v>
      </c>
      <c r="G83" s="20" t="s">
        <v>242</v>
      </c>
      <c r="H83" s="21">
        <v>4.5999999999999996</v>
      </c>
      <c r="I83" s="21">
        <v>58</v>
      </c>
      <c r="J83" s="20" t="s">
        <v>242</v>
      </c>
      <c r="K83" s="20" t="s">
        <v>613</v>
      </c>
      <c r="L83" s="21">
        <v>0.95</v>
      </c>
      <c r="M83" s="20"/>
      <c r="N83" s="20"/>
    </row>
    <row r="84" spans="1:14" ht="14.4">
      <c r="A84" s="21">
        <v>272</v>
      </c>
      <c r="B84" s="20" t="s">
        <v>25</v>
      </c>
      <c r="C84" s="20" t="s">
        <v>26</v>
      </c>
      <c r="D84" s="20" t="s">
        <v>556</v>
      </c>
      <c r="E84" s="22">
        <v>12127361167</v>
      </c>
      <c r="F84" s="19" t="s">
        <v>557</v>
      </c>
      <c r="G84" s="20" t="s">
        <v>242</v>
      </c>
      <c r="H84" s="21">
        <v>4.5999999999999996</v>
      </c>
      <c r="I84" s="21">
        <v>85</v>
      </c>
      <c r="J84" s="20" t="s">
        <v>242</v>
      </c>
      <c r="K84" s="20" t="s">
        <v>613</v>
      </c>
      <c r="L84" s="21">
        <v>0.95</v>
      </c>
      <c r="M84" s="20"/>
      <c r="N84" s="20"/>
    </row>
    <row r="85" spans="1:14" ht="14.4">
      <c r="A85" s="21">
        <v>273</v>
      </c>
      <c r="B85" s="20" t="s">
        <v>25</v>
      </c>
      <c r="C85" s="20" t="s">
        <v>26</v>
      </c>
      <c r="D85" s="20" t="s">
        <v>558</v>
      </c>
      <c r="E85" s="22">
        <v>12129673493</v>
      </c>
      <c r="F85" s="19" t="s">
        <v>559</v>
      </c>
      <c r="G85" s="20" t="s">
        <v>242</v>
      </c>
      <c r="H85" s="21">
        <v>5</v>
      </c>
      <c r="I85" s="21">
        <v>10</v>
      </c>
      <c r="J85" s="20" t="s">
        <v>242</v>
      </c>
      <c r="K85" s="20" t="s">
        <v>613</v>
      </c>
      <c r="L85" s="21">
        <v>1</v>
      </c>
      <c r="M85" s="20"/>
      <c r="N85" s="20"/>
    </row>
    <row r="86" spans="1:14" ht="14.4">
      <c r="A86" s="21">
        <v>274</v>
      </c>
      <c r="B86" s="20" t="s">
        <v>25</v>
      </c>
      <c r="C86" s="20" t="s">
        <v>26</v>
      </c>
      <c r="D86" s="20" t="s">
        <v>560</v>
      </c>
      <c r="E86" s="22">
        <v>13477931429</v>
      </c>
      <c r="F86" s="19" t="s">
        <v>561</v>
      </c>
      <c r="G86" s="20" t="s">
        <v>242</v>
      </c>
      <c r="H86" s="21">
        <v>4.7</v>
      </c>
      <c r="I86" s="21">
        <v>69</v>
      </c>
      <c r="J86" s="20" t="s">
        <v>242</v>
      </c>
      <c r="K86" s="20" t="s">
        <v>613</v>
      </c>
      <c r="L86" s="21">
        <v>0.99</v>
      </c>
      <c r="M86" s="20"/>
      <c r="N86" s="20"/>
    </row>
    <row r="87" spans="1:14" ht="14.4">
      <c r="A87" s="21">
        <v>288</v>
      </c>
      <c r="B87" s="20" t="s">
        <v>25</v>
      </c>
      <c r="C87" s="20" t="s">
        <v>26</v>
      </c>
      <c r="D87" s="20" t="s">
        <v>588</v>
      </c>
      <c r="E87" s="22">
        <v>12128401871</v>
      </c>
      <c r="F87" s="19" t="s">
        <v>589</v>
      </c>
      <c r="G87" s="20" t="s">
        <v>242</v>
      </c>
      <c r="H87" s="21">
        <v>4.4000000000000004</v>
      </c>
      <c r="I87" s="21">
        <v>69</v>
      </c>
      <c r="J87" s="20" t="s">
        <v>242</v>
      </c>
      <c r="K87" s="20" t="s">
        <v>613</v>
      </c>
      <c r="L87" s="21">
        <v>1</v>
      </c>
      <c r="M87" s="20"/>
      <c r="N87" s="20"/>
    </row>
    <row r="88" spans="1:14" ht="14.4">
      <c r="A88" s="21">
        <v>289</v>
      </c>
      <c r="B88" s="20" t="s">
        <v>25</v>
      </c>
      <c r="C88" s="20" t="s">
        <v>26</v>
      </c>
      <c r="D88" s="20" t="s">
        <v>590</v>
      </c>
      <c r="E88" s="22">
        <v>12127533990</v>
      </c>
      <c r="F88" s="19" t="s">
        <v>591</v>
      </c>
      <c r="G88" s="20" t="s">
        <v>242</v>
      </c>
      <c r="H88" s="21">
        <v>4.2</v>
      </c>
      <c r="I88" s="21">
        <v>14</v>
      </c>
      <c r="J88" s="20" t="s">
        <v>242</v>
      </c>
      <c r="K88" s="20" t="s">
        <v>613</v>
      </c>
      <c r="L88" s="21">
        <v>0.84</v>
      </c>
      <c r="M88" s="20"/>
      <c r="N88" s="20"/>
    </row>
    <row r="89" spans="1:14" ht="14.4">
      <c r="A89" s="21">
        <v>290</v>
      </c>
      <c r="B89" s="20" t="s">
        <v>25</v>
      </c>
      <c r="C89" s="20" t="s">
        <v>26</v>
      </c>
      <c r="D89" s="20" t="s">
        <v>592</v>
      </c>
      <c r="E89" s="22">
        <v>17183923382</v>
      </c>
      <c r="F89" s="19" t="s">
        <v>593</v>
      </c>
      <c r="G89" s="20" t="s">
        <v>242</v>
      </c>
      <c r="H89" s="21">
        <v>3.9</v>
      </c>
      <c r="I89" s="21">
        <v>18</v>
      </c>
      <c r="J89" s="20" t="s">
        <v>242</v>
      </c>
      <c r="K89" s="20" t="s">
        <v>613</v>
      </c>
      <c r="L89" s="21">
        <v>1</v>
      </c>
      <c r="M89" s="20"/>
      <c r="N89" s="20"/>
    </row>
    <row r="90" spans="1:14" ht="14.4">
      <c r="A90" s="21">
        <v>291</v>
      </c>
      <c r="B90" s="20" t="s">
        <v>25</v>
      </c>
      <c r="C90" s="20" t="s">
        <v>26</v>
      </c>
      <c r="D90" s="20" t="s">
        <v>594</v>
      </c>
      <c r="E90" s="22">
        <v>12124069527</v>
      </c>
      <c r="F90" s="19" t="s">
        <v>595</v>
      </c>
      <c r="G90" s="20" t="s">
        <v>242</v>
      </c>
      <c r="H90" s="21">
        <v>4.9000000000000004</v>
      </c>
      <c r="I90" s="21">
        <v>436</v>
      </c>
      <c r="J90" s="20" t="s">
        <v>242</v>
      </c>
      <c r="K90" s="20" t="s">
        <v>613</v>
      </c>
      <c r="L90" s="21">
        <v>0.99</v>
      </c>
      <c r="M90" s="20"/>
      <c r="N90" s="20"/>
    </row>
    <row r="91" spans="1:14" ht="14.4">
      <c r="A91" s="21">
        <v>292</v>
      </c>
      <c r="B91" s="20" t="s">
        <v>25</v>
      </c>
      <c r="C91" s="20" t="s">
        <v>26</v>
      </c>
      <c r="D91" s="20" t="s">
        <v>552</v>
      </c>
      <c r="E91" s="22">
        <v>12122541151</v>
      </c>
      <c r="F91" s="19" t="s">
        <v>596</v>
      </c>
      <c r="G91" s="20" t="s">
        <v>242</v>
      </c>
      <c r="H91" s="21">
        <v>4.5</v>
      </c>
      <c r="I91" s="21">
        <v>82</v>
      </c>
      <c r="J91" s="20" t="s">
        <v>242</v>
      </c>
      <c r="K91" s="20" t="s">
        <v>613</v>
      </c>
      <c r="L91" s="21">
        <v>1</v>
      </c>
      <c r="M91" s="20"/>
      <c r="N91" s="20"/>
    </row>
  </sheetData>
  <mergeCells count="1">
    <mergeCell ref="L1:N1"/>
  </mergeCells>
  <hyperlinks>
    <hyperlink ref="A1" r:id="rId1" xr:uid="{00000000-0004-0000-0300-000000000000}"/>
    <hyperlink ref="F2" r:id="rId2" xr:uid="{00000000-0004-0000-0300-000001000000}"/>
    <hyperlink ref="F3" r:id="rId3" xr:uid="{00000000-0004-0000-0300-000002000000}"/>
    <hyperlink ref="F4" r:id="rId4" xr:uid="{00000000-0004-0000-0300-000003000000}"/>
    <hyperlink ref="F5" r:id="rId5" xr:uid="{00000000-0004-0000-0300-000004000000}"/>
    <hyperlink ref="F6" r:id="rId6" xr:uid="{00000000-0004-0000-0300-000005000000}"/>
    <hyperlink ref="F7" r:id="rId7" xr:uid="{00000000-0004-0000-0300-000006000000}"/>
    <hyperlink ref="F8" r:id="rId8" xr:uid="{00000000-0004-0000-0300-000007000000}"/>
    <hyperlink ref="F9" r:id="rId9" xr:uid="{00000000-0004-0000-0300-000008000000}"/>
    <hyperlink ref="F10" r:id="rId10" xr:uid="{00000000-0004-0000-0300-000009000000}"/>
    <hyperlink ref="F11" r:id="rId11" xr:uid="{00000000-0004-0000-0300-00000A000000}"/>
    <hyperlink ref="F12" r:id="rId12" xr:uid="{00000000-0004-0000-0300-00000B000000}"/>
    <hyperlink ref="F13" r:id="rId13" xr:uid="{00000000-0004-0000-0300-00000C000000}"/>
    <hyperlink ref="F14" r:id="rId14" xr:uid="{00000000-0004-0000-0300-00000D000000}"/>
    <hyperlink ref="F15" r:id="rId15" xr:uid="{00000000-0004-0000-0300-00000E000000}"/>
    <hyperlink ref="F16" r:id="rId16" xr:uid="{00000000-0004-0000-0300-00000F000000}"/>
    <hyperlink ref="F17" r:id="rId17" xr:uid="{00000000-0004-0000-0300-000010000000}"/>
    <hyperlink ref="F18" r:id="rId18" xr:uid="{00000000-0004-0000-0300-000011000000}"/>
    <hyperlink ref="F19" r:id="rId19" xr:uid="{00000000-0004-0000-0300-000012000000}"/>
    <hyperlink ref="F20" r:id="rId20" xr:uid="{00000000-0004-0000-0300-000013000000}"/>
    <hyperlink ref="F21" r:id="rId21" xr:uid="{00000000-0004-0000-0300-000014000000}"/>
    <hyperlink ref="F22" r:id="rId22" xr:uid="{00000000-0004-0000-0300-000015000000}"/>
    <hyperlink ref="F23" r:id="rId23" xr:uid="{00000000-0004-0000-0300-000016000000}"/>
    <hyperlink ref="F24" r:id="rId24" xr:uid="{00000000-0004-0000-0300-000017000000}"/>
    <hyperlink ref="F25" r:id="rId25" xr:uid="{00000000-0004-0000-0300-000018000000}"/>
    <hyperlink ref="F26" r:id="rId26" xr:uid="{00000000-0004-0000-0300-000019000000}"/>
    <hyperlink ref="F27" r:id="rId27" xr:uid="{00000000-0004-0000-0300-00001A000000}"/>
    <hyperlink ref="F28" r:id="rId28" xr:uid="{00000000-0004-0000-0300-00001B000000}"/>
    <hyperlink ref="F29" r:id="rId29" xr:uid="{00000000-0004-0000-0300-00001C000000}"/>
    <hyperlink ref="F30" r:id="rId30" xr:uid="{00000000-0004-0000-0300-00001D000000}"/>
    <hyperlink ref="F31" r:id="rId31" xr:uid="{00000000-0004-0000-0300-00001E000000}"/>
    <hyperlink ref="F32" r:id="rId32" xr:uid="{00000000-0004-0000-0300-00001F000000}"/>
    <hyperlink ref="F33" r:id="rId33" xr:uid="{00000000-0004-0000-0300-000020000000}"/>
    <hyperlink ref="F34" r:id="rId34" xr:uid="{00000000-0004-0000-0300-000021000000}"/>
    <hyperlink ref="F35" r:id="rId35" xr:uid="{00000000-0004-0000-0300-000022000000}"/>
    <hyperlink ref="F36" r:id="rId36" xr:uid="{00000000-0004-0000-0300-000023000000}"/>
    <hyperlink ref="F37" r:id="rId37" xr:uid="{00000000-0004-0000-0300-000024000000}"/>
    <hyperlink ref="F38" r:id="rId38" xr:uid="{00000000-0004-0000-0300-000025000000}"/>
    <hyperlink ref="F39" r:id="rId39" xr:uid="{00000000-0004-0000-0300-000026000000}"/>
    <hyperlink ref="F40" r:id="rId40" xr:uid="{00000000-0004-0000-0300-000027000000}"/>
    <hyperlink ref="F41" r:id="rId41" xr:uid="{00000000-0004-0000-0300-000028000000}"/>
    <hyperlink ref="F42" r:id="rId42" xr:uid="{00000000-0004-0000-0300-000029000000}"/>
    <hyperlink ref="F43" r:id="rId43" xr:uid="{00000000-0004-0000-0300-00002A000000}"/>
    <hyperlink ref="F44" r:id="rId44" xr:uid="{00000000-0004-0000-0300-00002B000000}"/>
    <hyperlink ref="F45" r:id="rId45" xr:uid="{00000000-0004-0000-0300-00002C000000}"/>
    <hyperlink ref="F46" r:id="rId46" xr:uid="{00000000-0004-0000-0300-00002D000000}"/>
    <hyperlink ref="F47" r:id="rId47" xr:uid="{00000000-0004-0000-0300-00002E000000}"/>
    <hyperlink ref="F48" r:id="rId48" xr:uid="{00000000-0004-0000-0300-00002F000000}"/>
    <hyperlink ref="F49" r:id="rId49" xr:uid="{00000000-0004-0000-0300-000030000000}"/>
    <hyperlink ref="F50" r:id="rId50" xr:uid="{00000000-0004-0000-0300-000031000000}"/>
    <hyperlink ref="F51" r:id="rId51" xr:uid="{00000000-0004-0000-0300-000032000000}"/>
    <hyperlink ref="F52" r:id="rId52" xr:uid="{00000000-0004-0000-0300-000033000000}"/>
    <hyperlink ref="F53" r:id="rId53" xr:uid="{00000000-0004-0000-0300-000034000000}"/>
    <hyperlink ref="F54" r:id="rId54" xr:uid="{00000000-0004-0000-0300-000035000000}"/>
    <hyperlink ref="F55" r:id="rId55" xr:uid="{00000000-0004-0000-0300-000036000000}"/>
    <hyperlink ref="F56" r:id="rId56" xr:uid="{00000000-0004-0000-0300-000037000000}"/>
    <hyperlink ref="F57" r:id="rId57" xr:uid="{00000000-0004-0000-0300-000038000000}"/>
    <hyperlink ref="F58" r:id="rId58" xr:uid="{00000000-0004-0000-0300-000039000000}"/>
    <hyperlink ref="F59" r:id="rId59" xr:uid="{00000000-0004-0000-0300-00003A000000}"/>
    <hyperlink ref="F60" r:id="rId60" xr:uid="{00000000-0004-0000-0300-00003B000000}"/>
    <hyperlink ref="F61" r:id="rId61" xr:uid="{00000000-0004-0000-0300-00003C000000}"/>
    <hyperlink ref="F62" r:id="rId62" xr:uid="{00000000-0004-0000-0300-00003D000000}"/>
    <hyperlink ref="F63" r:id="rId63" xr:uid="{00000000-0004-0000-0300-00003E000000}"/>
    <hyperlink ref="F64" r:id="rId64" xr:uid="{00000000-0004-0000-0300-00003F000000}"/>
    <hyperlink ref="F65" r:id="rId65" xr:uid="{00000000-0004-0000-0300-000040000000}"/>
    <hyperlink ref="F66" r:id="rId66" xr:uid="{00000000-0004-0000-0300-000041000000}"/>
    <hyperlink ref="F67" r:id="rId67" xr:uid="{00000000-0004-0000-0300-000042000000}"/>
    <hyperlink ref="F68" r:id="rId68" xr:uid="{00000000-0004-0000-0300-000043000000}"/>
    <hyperlink ref="F69" r:id="rId69" xr:uid="{00000000-0004-0000-0300-000044000000}"/>
    <hyperlink ref="F70" r:id="rId70" xr:uid="{00000000-0004-0000-0300-000045000000}"/>
    <hyperlink ref="F71" r:id="rId71" xr:uid="{00000000-0004-0000-0300-000046000000}"/>
    <hyperlink ref="F72" r:id="rId72" xr:uid="{00000000-0004-0000-0300-000047000000}"/>
    <hyperlink ref="F73" r:id="rId73" xr:uid="{00000000-0004-0000-0300-000048000000}"/>
    <hyperlink ref="F74" r:id="rId74" xr:uid="{00000000-0004-0000-0300-000049000000}"/>
    <hyperlink ref="F75" r:id="rId75" xr:uid="{00000000-0004-0000-0300-00004A000000}"/>
    <hyperlink ref="F76" r:id="rId76" xr:uid="{00000000-0004-0000-0300-00004B000000}"/>
    <hyperlink ref="F77" r:id="rId77" xr:uid="{00000000-0004-0000-0300-00004C000000}"/>
    <hyperlink ref="F78" r:id="rId78" xr:uid="{00000000-0004-0000-0300-00004D000000}"/>
    <hyperlink ref="F79" r:id="rId79" xr:uid="{00000000-0004-0000-0300-00004E000000}"/>
    <hyperlink ref="F80" r:id="rId80" xr:uid="{00000000-0004-0000-0300-00004F000000}"/>
    <hyperlink ref="F81" r:id="rId81" xr:uid="{00000000-0004-0000-0300-000050000000}"/>
    <hyperlink ref="F82" r:id="rId82" xr:uid="{00000000-0004-0000-0300-000051000000}"/>
    <hyperlink ref="F83" r:id="rId83" xr:uid="{00000000-0004-0000-0300-000052000000}"/>
    <hyperlink ref="F84" r:id="rId84" xr:uid="{00000000-0004-0000-0300-000053000000}"/>
    <hyperlink ref="F85" r:id="rId85" xr:uid="{00000000-0004-0000-0300-000054000000}"/>
    <hyperlink ref="F86" r:id="rId86" xr:uid="{00000000-0004-0000-0300-000055000000}"/>
    <hyperlink ref="F87" r:id="rId87" xr:uid="{00000000-0004-0000-0300-000056000000}"/>
    <hyperlink ref="F88" r:id="rId88" xr:uid="{00000000-0004-0000-0300-000057000000}"/>
    <hyperlink ref="F89" r:id="rId89" xr:uid="{00000000-0004-0000-0300-000058000000}"/>
    <hyperlink ref="F90" r:id="rId90" xr:uid="{00000000-0004-0000-0300-000059000000}"/>
    <hyperlink ref="F91" r:id="rId91" xr:uid="{00000000-0004-0000-0300-00005A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73"/>
  <sheetViews>
    <sheetView workbookViewId="0"/>
  </sheetViews>
  <sheetFormatPr defaultColWidth="12.6640625" defaultRowHeight="15.75" customHeight="1"/>
  <sheetData>
    <row r="1" spans="1:16" ht="15.75" customHeight="1">
      <c r="A1" s="19" t="s">
        <v>0</v>
      </c>
      <c r="B1" s="20" t="s">
        <v>1</v>
      </c>
      <c r="C1" s="20" t="s">
        <v>2</v>
      </c>
      <c r="D1" s="20" t="s">
        <v>3</v>
      </c>
      <c r="E1" s="20" t="s">
        <v>8</v>
      </c>
      <c r="F1" s="20" t="s">
        <v>9</v>
      </c>
      <c r="G1" s="20" t="s">
        <v>10</v>
      </c>
      <c r="H1" s="20" t="s">
        <v>11</v>
      </c>
      <c r="I1" s="20" t="s">
        <v>12</v>
      </c>
      <c r="J1" s="20" t="s">
        <v>606</v>
      </c>
      <c r="K1" s="20" t="s">
        <v>607</v>
      </c>
      <c r="L1" s="20" t="s">
        <v>617</v>
      </c>
      <c r="M1" s="20" t="s">
        <v>618</v>
      </c>
      <c r="N1" s="20" t="s">
        <v>619</v>
      </c>
      <c r="O1" s="20" t="s">
        <v>620</v>
      </c>
      <c r="P1" s="20" t="s">
        <v>608</v>
      </c>
    </row>
    <row r="2" spans="1:16" ht="15.75" customHeight="1">
      <c r="A2" s="21">
        <v>1</v>
      </c>
      <c r="B2" s="20" t="s">
        <v>13</v>
      </c>
      <c r="C2" s="20" t="s">
        <v>14</v>
      </c>
      <c r="D2" s="20" t="s">
        <v>15</v>
      </c>
      <c r="E2" s="21">
        <v>7499858640</v>
      </c>
      <c r="F2" s="19" t="s">
        <v>17</v>
      </c>
      <c r="G2" s="20" t="s">
        <v>609</v>
      </c>
      <c r="H2" s="21">
        <v>4.5</v>
      </c>
      <c r="I2" s="21">
        <v>399</v>
      </c>
      <c r="J2" s="20" t="s">
        <v>609</v>
      </c>
      <c r="K2" s="20" t="s">
        <v>610</v>
      </c>
      <c r="L2" s="21">
        <v>0.9</v>
      </c>
      <c r="M2" s="20" t="s">
        <v>621</v>
      </c>
      <c r="N2" s="20" t="s">
        <v>622</v>
      </c>
      <c r="O2" s="20" t="s">
        <v>622</v>
      </c>
      <c r="P2" s="21">
        <v>1</v>
      </c>
    </row>
    <row r="3" spans="1:16" ht="15.75" customHeight="1">
      <c r="A3" s="21">
        <v>3</v>
      </c>
      <c r="B3" s="20" t="s">
        <v>13</v>
      </c>
      <c r="C3" s="20" t="s">
        <v>14</v>
      </c>
      <c r="D3" s="20" t="s">
        <v>21</v>
      </c>
      <c r="E3" s="21">
        <v>9919990738</v>
      </c>
      <c r="F3" s="19" t="s">
        <v>22</v>
      </c>
      <c r="G3" s="20" t="s">
        <v>609</v>
      </c>
      <c r="H3" s="21">
        <v>4.8</v>
      </c>
      <c r="I3" s="21">
        <v>329</v>
      </c>
      <c r="J3" s="20" t="s">
        <v>609</v>
      </c>
      <c r="K3" s="20" t="s">
        <v>610</v>
      </c>
      <c r="L3" s="21">
        <v>0.96</v>
      </c>
      <c r="M3" s="20" t="s">
        <v>621</v>
      </c>
      <c r="N3" s="20" t="s">
        <v>622</v>
      </c>
      <c r="O3" s="20" t="s">
        <v>622</v>
      </c>
      <c r="P3" s="21">
        <v>1</v>
      </c>
    </row>
    <row r="4" spans="1:16" ht="15.75" customHeight="1">
      <c r="A4" s="21">
        <v>4</v>
      </c>
      <c r="B4" s="20" t="s">
        <v>13</v>
      </c>
      <c r="C4" s="20" t="s">
        <v>14</v>
      </c>
      <c r="D4" s="20" t="s">
        <v>309</v>
      </c>
      <c r="E4" s="21">
        <v>9919736852</v>
      </c>
      <c r="F4" s="19" t="s">
        <v>24</v>
      </c>
      <c r="G4" s="20" t="s">
        <v>609</v>
      </c>
      <c r="H4" s="21">
        <v>4.5999999999999996</v>
      </c>
      <c r="I4" s="21">
        <v>221</v>
      </c>
      <c r="J4" s="20" t="s">
        <v>609</v>
      </c>
      <c r="K4" s="20" t="s">
        <v>610</v>
      </c>
      <c r="L4" s="21">
        <v>0.92</v>
      </c>
      <c r="M4" s="20" t="s">
        <v>621</v>
      </c>
      <c r="N4" s="20" t="s">
        <v>622</v>
      </c>
      <c r="O4" s="20" t="s">
        <v>622</v>
      </c>
      <c r="P4" s="21">
        <v>0.96</v>
      </c>
    </row>
    <row r="5" spans="1:16" ht="15.75" customHeight="1">
      <c r="A5" s="21">
        <v>16</v>
      </c>
      <c r="B5" s="20" t="s">
        <v>25</v>
      </c>
      <c r="C5" s="20" t="s">
        <v>26</v>
      </c>
      <c r="D5" s="20" t="s">
        <v>50</v>
      </c>
      <c r="E5" s="21">
        <v>16468613801</v>
      </c>
      <c r="F5" s="19" t="s">
        <v>51</v>
      </c>
      <c r="G5" s="20" t="s">
        <v>29</v>
      </c>
      <c r="H5" s="21">
        <v>4.9000000000000004</v>
      </c>
      <c r="I5" s="21">
        <v>438</v>
      </c>
      <c r="J5" s="20" t="s">
        <v>29</v>
      </c>
      <c r="K5" s="20" t="s">
        <v>613</v>
      </c>
      <c r="L5" s="21">
        <v>0.98</v>
      </c>
      <c r="M5" s="20" t="s">
        <v>621</v>
      </c>
      <c r="N5" s="20" t="s">
        <v>622</v>
      </c>
      <c r="O5" s="20" t="s">
        <v>622</v>
      </c>
      <c r="P5" s="21">
        <v>0.99</v>
      </c>
    </row>
    <row r="6" spans="1:16" ht="15.75" customHeight="1">
      <c r="A6" s="21">
        <v>21</v>
      </c>
      <c r="B6" s="20" t="s">
        <v>13</v>
      </c>
      <c r="C6" s="20" t="s">
        <v>14</v>
      </c>
      <c r="D6" s="20" t="s">
        <v>62</v>
      </c>
      <c r="E6" s="21">
        <v>9118147955</v>
      </c>
      <c r="F6" s="19" t="s">
        <v>63</v>
      </c>
      <c r="G6" s="20" t="s">
        <v>61</v>
      </c>
      <c r="H6" s="21">
        <v>4.8</v>
      </c>
      <c r="I6" s="21">
        <v>66</v>
      </c>
      <c r="J6" s="20" t="s">
        <v>61</v>
      </c>
      <c r="K6" s="20" t="s">
        <v>610</v>
      </c>
      <c r="L6" s="21">
        <v>0.96</v>
      </c>
      <c r="M6" s="20" t="s">
        <v>621</v>
      </c>
      <c r="N6" s="20" t="s">
        <v>622</v>
      </c>
      <c r="O6" s="20" t="s">
        <v>622</v>
      </c>
      <c r="P6" s="21">
        <v>0.96</v>
      </c>
    </row>
    <row r="7" spans="1:16" ht="15.75" customHeight="1">
      <c r="A7" s="21">
        <v>24</v>
      </c>
      <c r="B7" s="20" t="s">
        <v>13</v>
      </c>
      <c r="C7" s="20" t="s">
        <v>14</v>
      </c>
      <c r="D7" s="20" t="s">
        <v>68</v>
      </c>
      <c r="E7" s="21">
        <v>7398951960</v>
      </c>
      <c r="F7" s="19" t="s">
        <v>69</v>
      </c>
      <c r="G7" s="20" t="s">
        <v>61</v>
      </c>
      <c r="H7" s="21">
        <v>4.9000000000000004</v>
      </c>
      <c r="I7" s="21">
        <v>85</v>
      </c>
      <c r="J7" s="20" t="s">
        <v>61</v>
      </c>
      <c r="K7" s="20" t="s">
        <v>610</v>
      </c>
      <c r="L7" s="21">
        <v>0.98</v>
      </c>
      <c r="M7" s="20" t="s">
        <v>621</v>
      </c>
      <c r="N7" s="20" t="s">
        <v>622</v>
      </c>
      <c r="O7" s="20" t="s">
        <v>622</v>
      </c>
      <c r="P7" s="21">
        <v>0.98</v>
      </c>
    </row>
    <row r="8" spans="1:16" ht="15.75" customHeight="1">
      <c r="A8" s="21">
        <v>37</v>
      </c>
      <c r="B8" s="20" t="s">
        <v>13</v>
      </c>
      <c r="C8" s="20" t="s">
        <v>14</v>
      </c>
      <c r="D8" s="20" t="s">
        <v>94</v>
      </c>
      <c r="E8" s="21">
        <v>7270075920</v>
      </c>
      <c r="F8" s="19" t="s">
        <v>95</v>
      </c>
      <c r="G8" s="20" t="s">
        <v>61</v>
      </c>
      <c r="H8" s="21">
        <v>4.9000000000000004</v>
      </c>
      <c r="I8" s="21">
        <v>79</v>
      </c>
      <c r="J8" s="20" t="s">
        <v>61</v>
      </c>
      <c r="K8" s="20" t="s">
        <v>610</v>
      </c>
      <c r="L8" s="21">
        <v>0.98</v>
      </c>
      <c r="M8" s="20" t="s">
        <v>621</v>
      </c>
      <c r="N8" s="20" t="s">
        <v>622</v>
      </c>
      <c r="O8" s="20" t="s">
        <v>622</v>
      </c>
      <c r="P8" s="21">
        <v>0.93</v>
      </c>
    </row>
    <row r="9" spans="1:16" ht="15.75" customHeight="1">
      <c r="A9" s="21">
        <v>39</v>
      </c>
      <c r="B9" s="20" t="s">
        <v>13</v>
      </c>
      <c r="C9" s="20" t="s">
        <v>14</v>
      </c>
      <c r="D9" s="20" t="s">
        <v>98</v>
      </c>
      <c r="E9" s="21">
        <v>9936171731</v>
      </c>
      <c r="F9" s="19" t="s">
        <v>99</v>
      </c>
      <c r="G9" s="20" t="s">
        <v>61</v>
      </c>
      <c r="H9" s="21">
        <v>4.8</v>
      </c>
      <c r="I9" s="21">
        <v>91</v>
      </c>
      <c r="J9" s="20" t="s">
        <v>61</v>
      </c>
      <c r="K9" s="20" t="s">
        <v>610</v>
      </c>
      <c r="L9" s="21">
        <v>0.96</v>
      </c>
      <c r="M9" s="20" t="s">
        <v>621</v>
      </c>
      <c r="N9" s="20" t="s">
        <v>622</v>
      </c>
      <c r="O9" s="20" t="s">
        <v>622</v>
      </c>
      <c r="P9" s="21">
        <v>0.98</v>
      </c>
    </row>
    <row r="10" spans="1:16" ht="15.75" customHeight="1">
      <c r="A10" s="21">
        <v>41</v>
      </c>
      <c r="B10" s="20" t="s">
        <v>25</v>
      </c>
      <c r="C10" s="20" t="s">
        <v>26</v>
      </c>
      <c r="D10" s="20" t="s">
        <v>102</v>
      </c>
      <c r="E10" s="21">
        <v>12127776864</v>
      </c>
      <c r="F10" s="19" t="s">
        <v>103</v>
      </c>
      <c r="G10" s="20" t="s">
        <v>61</v>
      </c>
      <c r="H10" s="21">
        <v>5</v>
      </c>
      <c r="I10" s="21">
        <v>50</v>
      </c>
      <c r="J10" s="20" t="s">
        <v>61</v>
      </c>
      <c r="K10" s="20" t="s">
        <v>613</v>
      </c>
      <c r="L10" s="21">
        <v>1</v>
      </c>
      <c r="M10" s="20" t="s">
        <v>621</v>
      </c>
      <c r="N10" s="20" t="s">
        <v>622</v>
      </c>
      <c r="O10" s="20" t="s">
        <v>622</v>
      </c>
      <c r="P10" s="21">
        <v>0.7</v>
      </c>
    </row>
    <row r="11" spans="1:16" ht="15.75" customHeight="1">
      <c r="A11" s="21">
        <v>52</v>
      </c>
      <c r="B11" s="20" t="s">
        <v>25</v>
      </c>
      <c r="C11" s="20" t="s">
        <v>26</v>
      </c>
      <c r="D11" s="20" t="s">
        <v>125</v>
      </c>
      <c r="E11" s="21">
        <v>12125484370</v>
      </c>
      <c r="F11" s="19" t="s">
        <v>126</v>
      </c>
      <c r="G11" s="20" t="s">
        <v>114</v>
      </c>
      <c r="H11" s="21">
        <v>4.5</v>
      </c>
      <c r="I11" s="21">
        <v>162</v>
      </c>
      <c r="J11" s="20" t="s">
        <v>114</v>
      </c>
      <c r="K11" s="20" t="s">
        <v>613</v>
      </c>
      <c r="L11" s="21">
        <v>0.9</v>
      </c>
      <c r="M11" s="20" t="s">
        <v>621</v>
      </c>
      <c r="N11" s="20" t="s">
        <v>622</v>
      </c>
      <c r="O11" s="20" t="s">
        <v>622</v>
      </c>
      <c r="P11" s="21">
        <v>0.78</v>
      </c>
    </row>
    <row r="12" spans="1:16" ht="15.75" customHeight="1">
      <c r="A12" s="21">
        <v>61</v>
      </c>
      <c r="B12" s="20" t="s">
        <v>13</v>
      </c>
      <c r="C12" s="20" t="s">
        <v>14</v>
      </c>
      <c r="D12" s="20" t="s">
        <v>143</v>
      </c>
      <c r="E12" s="21">
        <v>6392701509</v>
      </c>
      <c r="F12" s="19" t="s">
        <v>144</v>
      </c>
      <c r="G12" s="20" t="s">
        <v>61</v>
      </c>
      <c r="H12" s="21">
        <v>4.9000000000000004</v>
      </c>
      <c r="I12" s="21">
        <v>181</v>
      </c>
      <c r="J12" s="20" t="s">
        <v>61</v>
      </c>
      <c r="K12" s="20" t="s">
        <v>610</v>
      </c>
      <c r="L12" s="21">
        <v>0.98</v>
      </c>
      <c r="M12" s="20" t="s">
        <v>621</v>
      </c>
      <c r="N12" s="20" t="s">
        <v>622</v>
      </c>
      <c r="O12" s="20" t="s">
        <v>622</v>
      </c>
      <c r="P12" s="21">
        <v>0.93</v>
      </c>
    </row>
    <row r="13" spans="1:16" ht="15.75" customHeight="1">
      <c r="A13" s="21">
        <v>63</v>
      </c>
      <c r="B13" s="20" t="s">
        <v>13</v>
      </c>
      <c r="C13" s="20" t="s">
        <v>14</v>
      </c>
      <c r="D13" s="20" t="s">
        <v>147</v>
      </c>
      <c r="E13" s="21">
        <v>9554997653</v>
      </c>
      <c r="F13" s="19" t="s">
        <v>148</v>
      </c>
      <c r="G13" s="20" t="s">
        <v>61</v>
      </c>
      <c r="H13" s="21">
        <v>4.9000000000000004</v>
      </c>
      <c r="I13" s="21">
        <v>63</v>
      </c>
      <c r="J13" s="20" t="s">
        <v>61</v>
      </c>
      <c r="K13" s="20" t="s">
        <v>610</v>
      </c>
      <c r="L13" s="21">
        <v>0.98</v>
      </c>
      <c r="M13" s="20" t="s">
        <v>621</v>
      </c>
      <c r="N13" s="20" t="s">
        <v>622</v>
      </c>
      <c r="O13" s="20" t="s">
        <v>622</v>
      </c>
      <c r="P13" s="21">
        <v>0.85</v>
      </c>
    </row>
    <row r="14" spans="1:16" ht="15.75" customHeight="1">
      <c r="A14" s="21">
        <v>69</v>
      </c>
      <c r="B14" s="20" t="s">
        <v>13</v>
      </c>
      <c r="C14" s="20" t="s">
        <v>14</v>
      </c>
      <c r="D14" s="20" t="s">
        <v>159</v>
      </c>
      <c r="E14" s="21">
        <v>9519727481</v>
      </c>
      <c r="F14" s="19" t="s">
        <v>160</v>
      </c>
      <c r="G14" s="20" t="s">
        <v>61</v>
      </c>
      <c r="H14" s="21">
        <v>5</v>
      </c>
      <c r="I14" s="21">
        <v>137</v>
      </c>
      <c r="J14" s="20" t="s">
        <v>61</v>
      </c>
      <c r="K14" s="20" t="s">
        <v>610</v>
      </c>
      <c r="L14" s="21">
        <v>1</v>
      </c>
      <c r="M14" s="20" t="s">
        <v>621</v>
      </c>
      <c r="N14" s="20" t="s">
        <v>622</v>
      </c>
      <c r="O14" s="20" t="s">
        <v>622</v>
      </c>
      <c r="P14" s="21">
        <v>0.99</v>
      </c>
    </row>
    <row r="15" spans="1:16" ht="15.75" customHeight="1">
      <c r="A15" s="21">
        <v>78</v>
      </c>
      <c r="B15" s="20" t="s">
        <v>13</v>
      </c>
      <c r="C15" s="20" t="s">
        <v>14</v>
      </c>
      <c r="D15" s="20" t="s">
        <v>177</v>
      </c>
      <c r="E15" s="21">
        <v>9721050077</v>
      </c>
      <c r="F15" s="19" t="s">
        <v>178</v>
      </c>
      <c r="G15" s="20" t="s">
        <v>61</v>
      </c>
      <c r="H15" s="21">
        <v>4.3</v>
      </c>
      <c r="I15" s="21">
        <v>285</v>
      </c>
      <c r="J15" s="20" t="s">
        <v>61</v>
      </c>
      <c r="K15" s="20" t="s">
        <v>610</v>
      </c>
      <c r="L15" s="21">
        <v>0.86</v>
      </c>
      <c r="M15" s="20" t="s">
        <v>621</v>
      </c>
      <c r="N15" s="20" t="s">
        <v>622</v>
      </c>
      <c r="O15" s="20" t="s">
        <v>622</v>
      </c>
      <c r="P15" s="21">
        <v>0.84</v>
      </c>
    </row>
    <row r="16" spans="1:16" ht="15.75" customHeight="1">
      <c r="A16" s="21">
        <v>84</v>
      </c>
      <c r="B16" s="20" t="s">
        <v>13</v>
      </c>
      <c r="C16" s="20" t="s">
        <v>14</v>
      </c>
      <c r="D16" s="20" t="s">
        <v>189</v>
      </c>
      <c r="E16" s="21">
        <v>9415919651</v>
      </c>
      <c r="F16" s="19" t="s">
        <v>190</v>
      </c>
      <c r="G16" s="20" t="s">
        <v>56</v>
      </c>
      <c r="H16" s="21">
        <v>4.2</v>
      </c>
      <c r="I16" s="21">
        <v>383</v>
      </c>
      <c r="J16" s="20" t="s">
        <v>56</v>
      </c>
      <c r="K16" s="20" t="s">
        <v>610</v>
      </c>
      <c r="L16" s="21">
        <v>0.84</v>
      </c>
      <c r="M16" s="20" t="s">
        <v>621</v>
      </c>
      <c r="N16" s="20" t="s">
        <v>622</v>
      </c>
      <c r="O16" s="20" t="s">
        <v>622</v>
      </c>
      <c r="P16" s="21">
        <v>0.88</v>
      </c>
    </row>
    <row r="17" spans="1:16" ht="15.75" customHeight="1">
      <c r="A17" s="21">
        <v>100</v>
      </c>
      <c r="B17" s="20" t="s">
        <v>13</v>
      </c>
      <c r="C17" s="20" t="s">
        <v>14</v>
      </c>
      <c r="D17" s="20" t="s">
        <v>222</v>
      </c>
      <c r="E17" s="21">
        <v>5224002552</v>
      </c>
      <c r="F17" s="19" t="s">
        <v>223</v>
      </c>
      <c r="G17" s="20" t="s">
        <v>213</v>
      </c>
      <c r="H17" s="21">
        <v>4.3</v>
      </c>
      <c r="I17" s="21">
        <v>419</v>
      </c>
      <c r="J17" s="20" t="s">
        <v>213</v>
      </c>
      <c r="K17" s="20" t="s">
        <v>610</v>
      </c>
      <c r="L17" s="21">
        <v>0.86</v>
      </c>
      <c r="M17" s="20" t="s">
        <v>621</v>
      </c>
      <c r="N17" s="20" t="s">
        <v>622</v>
      </c>
      <c r="O17" s="20" t="s">
        <v>622</v>
      </c>
      <c r="P17" s="21">
        <v>0.97</v>
      </c>
    </row>
    <row r="18" spans="1:16" ht="15.75" customHeight="1">
      <c r="A18" s="21">
        <v>101</v>
      </c>
      <c r="B18" s="20" t="s">
        <v>13</v>
      </c>
      <c r="C18" s="20" t="s">
        <v>14</v>
      </c>
      <c r="D18" s="20" t="s">
        <v>224</v>
      </c>
      <c r="E18" s="21">
        <v>9336383722</v>
      </c>
      <c r="F18" s="19" t="s">
        <v>225</v>
      </c>
      <c r="G18" s="20" t="s">
        <v>213</v>
      </c>
      <c r="H18" s="21">
        <v>4.2</v>
      </c>
      <c r="I18" s="21">
        <v>550</v>
      </c>
      <c r="J18" s="20" t="s">
        <v>213</v>
      </c>
      <c r="K18" s="20" t="s">
        <v>610</v>
      </c>
      <c r="L18" s="21">
        <v>0.84</v>
      </c>
      <c r="M18" s="20" t="s">
        <v>621</v>
      </c>
      <c r="N18" s="20" t="s">
        <v>622</v>
      </c>
      <c r="O18" s="20" t="s">
        <v>622</v>
      </c>
      <c r="P18" s="21">
        <v>0.98</v>
      </c>
    </row>
    <row r="19" spans="1:16" ht="15.75" customHeight="1">
      <c r="A19" s="21">
        <v>102</v>
      </c>
      <c r="B19" s="20" t="s">
        <v>13</v>
      </c>
      <c r="C19" s="20" t="s">
        <v>14</v>
      </c>
      <c r="D19" s="20" t="s">
        <v>226</v>
      </c>
      <c r="E19" s="21">
        <v>9235404869</v>
      </c>
      <c r="F19" s="19" t="s">
        <v>227</v>
      </c>
      <c r="G19" s="20" t="s">
        <v>213</v>
      </c>
      <c r="H19" s="21">
        <v>4.9000000000000004</v>
      </c>
      <c r="I19" s="21">
        <v>146</v>
      </c>
      <c r="J19" s="20" t="s">
        <v>213</v>
      </c>
      <c r="K19" s="20" t="s">
        <v>610</v>
      </c>
      <c r="L19" s="21">
        <v>0.98</v>
      </c>
      <c r="M19" s="20" t="s">
        <v>621</v>
      </c>
      <c r="N19" s="20" t="s">
        <v>622</v>
      </c>
      <c r="O19" s="20" t="s">
        <v>622</v>
      </c>
      <c r="P19" s="21">
        <v>0.99</v>
      </c>
    </row>
    <row r="20" spans="1:16" ht="15.75" customHeight="1">
      <c r="A20" s="21">
        <v>103</v>
      </c>
      <c r="B20" s="20" t="s">
        <v>13</v>
      </c>
      <c r="C20" s="20" t="s">
        <v>14</v>
      </c>
      <c r="D20" s="20" t="s">
        <v>228</v>
      </c>
      <c r="E20" s="21">
        <v>8874474455</v>
      </c>
      <c r="F20" s="19" t="s">
        <v>229</v>
      </c>
      <c r="G20" s="20" t="s">
        <v>213</v>
      </c>
      <c r="H20" s="21">
        <v>4</v>
      </c>
      <c r="I20" s="21">
        <v>1920</v>
      </c>
      <c r="J20" s="20" t="s">
        <v>213</v>
      </c>
      <c r="K20" s="20" t="s">
        <v>610</v>
      </c>
      <c r="L20" s="21">
        <v>0.8</v>
      </c>
      <c r="M20" s="20" t="s">
        <v>621</v>
      </c>
      <c r="N20" s="20" t="s">
        <v>622</v>
      </c>
      <c r="O20" s="20" t="s">
        <v>622</v>
      </c>
      <c r="P20" s="21">
        <v>0.98</v>
      </c>
    </row>
    <row r="21" spans="1:16" ht="15.75" customHeight="1">
      <c r="A21" s="21">
        <v>105</v>
      </c>
      <c r="B21" s="20" t="s">
        <v>13</v>
      </c>
      <c r="C21" s="20" t="s">
        <v>14</v>
      </c>
      <c r="D21" s="20" t="s">
        <v>232</v>
      </c>
      <c r="E21" s="21">
        <v>7607491101</v>
      </c>
      <c r="F21" s="19" t="s">
        <v>233</v>
      </c>
      <c r="G21" s="20" t="s">
        <v>213</v>
      </c>
      <c r="H21" s="21">
        <v>4.9000000000000004</v>
      </c>
      <c r="I21" s="21">
        <v>97</v>
      </c>
      <c r="J21" s="20" t="s">
        <v>213</v>
      </c>
      <c r="K21" s="20" t="s">
        <v>610</v>
      </c>
      <c r="L21" s="21">
        <v>0.98</v>
      </c>
      <c r="M21" s="20" t="s">
        <v>621</v>
      </c>
      <c r="N21" s="20" t="s">
        <v>622</v>
      </c>
      <c r="O21" s="20" t="s">
        <v>622</v>
      </c>
      <c r="P21" s="21">
        <v>0.96</v>
      </c>
    </row>
    <row r="22" spans="1:16" ht="15.75" customHeight="1">
      <c r="A22" s="21">
        <v>121</v>
      </c>
      <c r="B22" s="20" t="s">
        <v>13</v>
      </c>
      <c r="C22" s="20" t="s">
        <v>14</v>
      </c>
      <c r="D22" s="20" t="s">
        <v>265</v>
      </c>
      <c r="E22" s="21">
        <v>9369233881</v>
      </c>
      <c r="F22" s="19" t="s">
        <v>266</v>
      </c>
      <c r="G22" s="20" t="s">
        <v>56</v>
      </c>
      <c r="H22" s="21">
        <v>4.8</v>
      </c>
      <c r="I22" s="21">
        <v>140</v>
      </c>
      <c r="J22" s="20" t="s">
        <v>56</v>
      </c>
      <c r="K22" s="20" t="s">
        <v>610</v>
      </c>
      <c r="L22" s="21">
        <v>0.96</v>
      </c>
      <c r="M22" s="20" t="s">
        <v>621</v>
      </c>
      <c r="N22" s="20" t="s">
        <v>622</v>
      </c>
      <c r="O22" s="20" t="s">
        <v>622</v>
      </c>
      <c r="P22" s="21">
        <v>1</v>
      </c>
    </row>
    <row r="23" spans="1:16" ht="15.75" customHeight="1">
      <c r="A23" s="21">
        <v>122</v>
      </c>
      <c r="B23" s="20" t="s">
        <v>13</v>
      </c>
      <c r="C23" s="20" t="s">
        <v>14</v>
      </c>
      <c r="D23" s="20" t="s">
        <v>267</v>
      </c>
      <c r="E23" s="21">
        <v>7408423070</v>
      </c>
      <c r="F23" s="19" t="s">
        <v>268</v>
      </c>
      <c r="G23" s="20" t="s">
        <v>56</v>
      </c>
      <c r="H23" s="21">
        <v>4.3</v>
      </c>
      <c r="I23" s="21">
        <v>636</v>
      </c>
      <c r="J23" s="20" t="s">
        <v>56</v>
      </c>
      <c r="K23" s="20" t="s">
        <v>610</v>
      </c>
      <c r="L23" s="21">
        <v>0.86</v>
      </c>
      <c r="M23" s="20" t="s">
        <v>621</v>
      </c>
      <c r="N23" s="20" t="s">
        <v>622</v>
      </c>
      <c r="O23" s="20" t="s">
        <v>622</v>
      </c>
      <c r="P23" s="21">
        <v>0.96</v>
      </c>
    </row>
    <row r="24" spans="1:16" ht="15.75" customHeight="1">
      <c r="A24" s="21">
        <v>130</v>
      </c>
      <c r="B24" s="20" t="s">
        <v>25</v>
      </c>
      <c r="C24" s="20" t="s">
        <v>26</v>
      </c>
      <c r="D24" s="20" t="s">
        <v>614</v>
      </c>
      <c r="E24" s="21">
        <v>12122330288</v>
      </c>
      <c r="F24" s="19" t="s">
        <v>284</v>
      </c>
      <c r="G24" s="20" t="s">
        <v>282</v>
      </c>
      <c r="H24" s="21">
        <v>4.5999999999999996</v>
      </c>
      <c r="I24" s="21">
        <v>121</v>
      </c>
      <c r="J24" s="20" t="s">
        <v>282</v>
      </c>
      <c r="K24" s="20" t="s">
        <v>613</v>
      </c>
      <c r="L24" s="21">
        <v>0.92</v>
      </c>
      <c r="M24" s="20" t="s">
        <v>621</v>
      </c>
      <c r="N24" s="20" t="s">
        <v>622</v>
      </c>
      <c r="O24" s="20" t="s">
        <v>622</v>
      </c>
      <c r="P24" s="21">
        <v>0.75</v>
      </c>
    </row>
    <row r="25" spans="1:16" ht="15.75" customHeight="1">
      <c r="A25" s="21">
        <v>133</v>
      </c>
      <c r="B25" s="20" t="s">
        <v>25</v>
      </c>
      <c r="C25" s="20" t="s">
        <v>26</v>
      </c>
      <c r="D25" s="20" t="s">
        <v>289</v>
      </c>
      <c r="E25" s="21">
        <v>16466092199</v>
      </c>
      <c r="F25" s="19" t="s">
        <v>290</v>
      </c>
      <c r="G25" s="20" t="s">
        <v>29</v>
      </c>
      <c r="H25" s="21">
        <v>4.8</v>
      </c>
      <c r="I25" s="21">
        <v>250</v>
      </c>
      <c r="J25" s="20" t="s">
        <v>29</v>
      </c>
      <c r="K25" s="20" t="s">
        <v>613</v>
      </c>
      <c r="L25" s="21">
        <v>0.96</v>
      </c>
      <c r="M25" s="20" t="s">
        <v>621</v>
      </c>
      <c r="N25" s="20" t="s">
        <v>622</v>
      </c>
      <c r="O25" s="20" t="s">
        <v>622</v>
      </c>
      <c r="P25" s="21">
        <v>0.96</v>
      </c>
    </row>
    <row r="26" spans="1:16" ht="15.75" customHeight="1">
      <c r="A26" s="21">
        <v>134</v>
      </c>
      <c r="B26" s="20" t="s">
        <v>13</v>
      </c>
      <c r="C26" s="20" t="s">
        <v>14</v>
      </c>
      <c r="D26" s="20" t="s">
        <v>291</v>
      </c>
      <c r="E26" s="21">
        <v>9721000839</v>
      </c>
      <c r="F26" s="19" t="s">
        <v>292</v>
      </c>
      <c r="G26" s="20" t="s">
        <v>609</v>
      </c>
      <c r="H26" s="21">
        <v>4.9000000000000004</v>
      </c>
      <c r="I26" s="21">
        <v>504</v>
      </c>
      <c r="J26" s="20" t="s">
        <v>609</v>
      </c>
      <c r="K26" s="20" t="s">
        <v>610</v>
      </c>
      <c r="L26" s="21">
        <v>0.98</v>
      </c>
      <c r="M26" s="20" t="s">
        <v>621</v>
      </c>
      <c r="N26" s="20" t="s">
        <v>622</v>
      </c>
      <c r="O26" s="20" t="s">
        <v>622</v>
      </c>
      <c r="P26" s="21">
        <v>0.98</v>
      </c>
    </row>
    <row r="27" spans="1:16" ht="14.4">
      <c r="A27" s="21">
        <v>135</v>
      </c>
      <c r="B27" s="20" t="s">
        <v>13</v>
      </c>
      <c r="C27" s="20" t="s">
        <v>14</v>
      </c>
      <c r="D27" s="20" t="s">
        <v>293</v>
      </c>
      <c r="E27" s="21">
        <v>8885762957</v>
      </c>
      <c r="F27" s="19" t="s">
        <v>294</v>
      </c>
      <c r="G27" s="20" t="s">
        <v>609</v>
      </c>
      <c r="H27" s="21">
        <v>4.8</v>
      </c>
      <c r="I27" s="21">
        <v>66</v>
      </c>
      <c r="J27" s="20" t="s">
        <v>609</v>
      </c>
      <c r="K27" s="20" t="s">
        <v>610</v>
      </c>
      <c r="L27" s="21">
        <v>0.96</v>
      </c>
      <c r="M27" s="20" t="s">
        <v>621</v>
      </c>
      <c r="N27" s="20" t="s">
        <v>622</v>
      </c>
      <c r="O27" s="20" t="s">
        <v>622</v>
      </c>
      <c r="P27" s="21">
        <v>0.96</v>
      </c>
    </row>
    <row r="28" spans="1:16" ht="14.4">
      <c r="A28" s="21">
        <v>136</v>
      </c>
      <c r="B28" s="20" t="s">
        <v>13</v>
      </c>
      <c r="C28" s="20" t="s">
        <v>14</v>
      </c>
      <c r="D28" s="20" t="s">
        <v>295</v>
      </c>
      <c r="E28" s="21">
        <v>9120169074</v>
      </c>
      <c r="F28" s="19" t="s">
        <v>296</v>
      </c>
      <c r="G28" s="20" t="s">
        <v>609</v>
      </c>
      <c r="H28" s="21">
        <v>4.9000000000000004</v>
      </c>
      <c r="I28" s="21">
        <v>313</v>
      </c>
      <c r="J28" s="20" t="s">
        <v>609</v>
      </c>
      <c r="K28" s="20" t="s">
        <v>610</v>
      </c>
      <c r="L28" s="21">
        <v>0.98</v>
      </c>
      <c r="M28" s="20" t="s">
        <v>621</v>
      </c>
      <c r="N28" s="20" t="s">
        <v>622</v>
      </c>
      <c r="O28" s="20" t="s">
        <v>622</v>
      </c>
      <c r="P28" s="21">
        <v>0.98</v>
      </c>
    </row>
    <row r="29" spans="1:16" ht="14.4">
      <c r="A29" s="21">
        <v>137</v>
      </c>
      <c r="B29" s="20" t="s">
        <v>13</v>
      </c>
      <c r="C29" s="20" t="s">
        <v>14</v>
      </c>
      <c r="D29" s="20" t="s">
        <v>297</v>
      </c>
      <c r="E29" s="21">
        <v>7860314702</v>
      </c>
      <c r="F29" s="19" t="s">
        <v>298</v>
      </c>
      <c r="G29" s="20" t="s">
        <v>609</v>
      </c>
      <c r="H29" s="21">
        <v>4.9000000000000004</v>
      </c>
      <c r="I29" s="21">
        <v>192</v>
      </c>
      <c r="J29" s="20" t="s">
        <v>609</v>
      </c>
      <c r="K29" s="20" t="s">
        <v>610</v>
      </c>
      <c r="L29" s="21">
        <v>0.98</v>
      </c>
      <c r="M29" s="20" t="s">
        <v>621</v>
      </c>
      <c r="N29" s="20" t="s">
        <v>622</v>
      </c>
      <c r="O29" s="20" t="s">
        <v>622</v>
      </c>
      <c r="P29" s="21">
        <v>0.93</v>
      </c>
    </row>
    <row r="30" spans="1:16" ht="14.4">
      <c r="A30" s="21">
        <v>138</v>
      </c>
      <c r="B30" s="20" t="s">
        <v>13</v>
      </c>
      <c r="C30" s="20" t="s">
        <v>14</v>
      </c>
      <c r="D30" s="20" t="s">
        <v>299</v>
      </c>
      <c r="E30" s="21">
        <v>8707208110</v>
      </c>
      <c r="F30" s="19" t="s">
        <v>300</v>
      </c>
      <c r="G30" s="20" t="s">
        <v>609</v>
      </c>
      <c r="H30" s="21">
        <v>4.9000000000000004</v>
      </c>
      <c r="I30" s="21">
        <v>121</v>
      </c>
      <c r="J30" s="20" t="s">
        <v>609</v>
      </c>
      <c r="K30" s="20" t="s">
        <v>610</v>
      </c>
      <c r="L30" s="21">
        <v>0.98</v>
      </c>
      <c r="M30" s="20" t="s">
        <v>621</v>
      </c>
      <c r="N30" s="20" t="s">
        <v>622</v>
      </c>
      <c r="O30" s="20" t="s">
        <v>622</v>
      </c>
      <c r="P30" s="21">
        <v>0.98</v>
      </c>
    </row>
    <row r="31" spans="1:16" ht="14.4">
      <c r="A31" s="21">
        <v>139</v>
      </c>
      <c r="B31" s="20" t="s">
        <v>13</v>
      </c>
      <c r="C31" s="20" t="s">
        <v>14</v>
      </c>
      <c r="D31" s="20" t="s">
        <v>301</v>
      </c>
      <c r="E31" s="21">
        <v>9140942123</v>
      </c>
      <c r="F31" s="19" t="s">
        <v>302</v>
      </c>
      <c r="G31" s="20" t="s">
        <v>609</v>
      </c>
      <c r="H31" s="21">
        <v>4.5</v>
      </c>
      <c r="I31" s="21">
        <v>552</v>
      </c>
      <c r="J31" s="20" t="s">
        <v>609</v>
      </c>
      <c r="K31" s="20" t="s">
        <v>610</v>
      </c>
      <c r="L31" s="21">
        <v>0.9</v>
      </c>
      <c r="M31" s="20" t="s">
        <v>621</v>
      </c>
      <c r="N31" s="20" t="s">
        <v>622</v>
      </c>
      <c r="O31" s="20" t="s">
        <v>622</v>
      </c>
      <c r="P31" s="21">
        <v>1</v>
      </c>
    </row>
    <row r="32" spans="1:16" ht="14.4">
      <c r="A32" s="21">
        <v>140</v>
      </c>
      <c r="B32" s="20" t="s">
        <v>13</v>
      </c>
      <c r="C32" s="20" t="s">
        <v>14</v>
      </c>
      <c r="D32" s="20" t="s">
        <v>303</v>
      </c>
      <c r="E32" s="21">
        <v>9696294296</v>
      </c>
      <c r="F32" s="19" t="s">
        <v>304</v>
      </c>
      <c r="G32" s="20" t="s">
        <v>609</v>
      </c>
      <c r="H32" s="21">
        <v>4.9000000000000004</v>
      </c>
      <c r="I32" s="21">
        <v>66</v>
      </c>
      <c r="J32" s="20" t="s">
        <v>609</v>
      </c>
      <c r="K32" s="20" t="s">
        <v>610</v>
      </c>
      <c r="L32" s="21">
        <v>0.98</v>
      </c>
      <c r="M32" s="20" t="s">
        <v>621</v>
      </c>
      <c r="N32" s="20" t="s">
        <v>622</v>
      </c>
      <c r="O32" s="20" t="s">
        <v>622</v>
      </c>
      <c r="P32" s="21">
        <v>0.99</v>
      </c>
    </row>
    <row r="33" spans="1:16" ht="14.4">
      <c r="A33" s="21">
        <v>143</v>
      </c>
      <c r="B33" s="20" t="s">
        <v>13</v>
      </c>
      <c r="C33" s="20" t="s">
        <v>14</v>
      </c>
      <c r="D33" s="20" t="s">
        <v>309</v>
      </c>
      <c r="E33" s="21">
        <v>9919736852</v>
      </c>
      <c r="F33" s="19" t="s">
        <v>310</v>
      </c>
      <c r="G33" s="20" t="s">
        <v>609</v>
      </c>
      <c r="H33" s="21">
        <v>4.5999999999999996</v>
      </c>
      <c r="I33" s="21">
        <v>221</v>
      </c>
      <c r="J33" s="20" t="s">
        <v>609</v>
      </c>
      <c r="K33" s="20" t="s">
        <v>610</v>
      </c>
      <c r="L33" s="21">
        <v>0.92</v>
      </c>
      <c r="M33" s="20" t="s">
        <v>621</v>
      </c>
      <c r="N33" s="20" t="s">
        <v>622</v>
      </c>
      <c r="O33" s="20" t="s">
        <v>622</v>
      </c>
      <c r="P33" s="21">
        <v>0.96</v>
      </c>
    </row>
    <row r="34" spans="1:16" ht="14.4">
      <c r="A34" s="21">
        <v>144</v>
      </c>
      <c r="B34" s="20" t="s">
        <v>13</v>
      </c>
      <c r="C34" s="20" t="s">
        <v>14</v>
      </c>
      <c r="D34" s="20" t="s">
        <v>311</v>
      </c>
      <c r="E34" s="21">
        <v>9005379640</v>
      </c>
      <c r="F34" s="19" t="s">
        <v>312</v>
      </c>
      <c r="G34" s="20" t="s">
        <v>609</v>
      </c>
      <c r="H34" s="21">
        <v>5</v>
      </c>
      <c r="I34" s="21">
        <v>81</v>
      </c>
      <c r="J34" s="20" t="s">
        <v>609</v>
      </c>
      <c r="K34" s="20" t="s">
        <v>610</v>
      </c>
      <c r="L34" s="21">
        <v>1</v>
      </c>
      <c r="M34" s="20" t="s">
        <v>621</v>
      </c>
      <c r="N34" s="20" t="s">
        <v>622</v>
      </c>
      <c r="O34" s="20" t="s">
        <v>622</v>
      </c>
      <c r="P34" s="21">
        <v>0.93</v>
      </c>
    </row>
    <row r="35" spans="1:16" ht="14.4">
      <c r="A35" s="21">
        <v>145</v>
      </c>
      <c r="B35" s="20" t="s">
        <v>13</v>
      </c>
      <c r="C35" s="20" t="s">
        <v>14</v>
      </c>
      <c r="D35" s="20" t="s">
        <v>313</v>
      </c>
      <c r="E35" s="21">
        <v>7499413643</v>
      </c>
      <c r="F35" s="19" t="s">
        <v>314</v>
      </c>
      <c r="G35" s="20" t="s">
        <v>609</v>
      </c>
      <c r="H35" s="21">
        <v>4.9000000000000004</v>
      </c>
      <c r="I35" s="21">
        <v>101</v>
      </c>
      <c r="J35" s="20" t="s">
        <v>609</v>
      </c>
      <c r="K35" s="20" t="s">
        <v>610</v>
      </c>
      <c r="L35" s="21">
        <v>0.98</v>
      </c>
      <c r="M35" s="20" t="s">
        <v>621</v>
      </c>
      <c r="N35" s="20" t="s">
        <v>622</v>
      </c>
      <c r="O35" s="20" t="s">
        <v>622</v>
      </c>
      <c r="P35" s="21">
        <v>0.96</v>
      </c>
    </row>
    <row r="36" spans="1:16" ht="14.4">
      <c r="A36" s="21">
        <v>146</v>
      </c>
      <c r="B36" s="20" t="s">
        <v>13</v>
      </c>
      <c r="C36" s="20" t="s">
        <v>14</v>
      </c>
      <c r="D36" s="20" t="s">
        <v>315</v>
      </c>
      <c r="E36" s="21">
        <v>9807193717</v>
      </c>
      <c r="F36" s="19" t="s">
        <v>316</v>
      </c>
      <c r="G36" s="20" t="s">
        <v>609</v>
      </c>
      <c r="H36" s="21">
        <v>4.8</v>
      </c>
      <c r="I36" s="21">
        <v>216</v>
      </c>
      <c r="J36" s="20" t="s">
        <v>609</v>
      </c>
      <c r="K36" s="20" t="s">
        <v>610</v>
      </c>
      <c r="L36" s="21">
        <v>0.96</v>
      </c>
      <c r="M36" s="20" t="s">
        <v>621</v>
      </c>
      <c r="N36" s="20" t="s">
        <v>622</v>
      </c>
      <c r="O36" s="20" t="s">
        <v>622</v>
      </c>
      <c r="P36" s="21">
        <v>0.98</v>
      </c>
    </row>
    <row r="37" spans="1:16" ht="14.4">
      <c r="A37" s="21">
        <v>148</v>
      </c>
      <c r="B37" s="20" t="s">
        <v>13</v>
      </c>
      <c r="C37" s="20" t="s">
        <v>14</v>
      </c>
      <c r="D37" s="20" t="s">
        <v>319</v>
      </c>
      <c r="E37" s="21">
        <v>9839660706</v>
      </c>
      <c r="F37" s="19" t="s">
        <v>320</v>
      </c>
      <c r="G37" s="20" t="s">
        <v>609</v>
      </c>
      <c r="H37" s="21">
        <v>4.9000000000000004</v>
      </c>
      <c r="I37" s="21">
        <v>99</v>
      </c>
      <c r="J37" s="20" t="s">
        <v>609</v>
      </c>
      <c r="K37" s="20" t="s">
        <v>610</v>
      </c>
      <c r="L37" s="21">
        <v>0.98</v>
      </c>
      <c r="M37" s="20" t="s">
        <v>621</v>
      </c>
      <c r="N37" s="20" t="s">
        <v>622</v>
      </c>
      <c r="O37" s="20" t="s">
        <v>622</v>
      </c>
      <c r="P37" s="21">
        <v>0.97</v>
      </c>
    </row>
    <row r="38" spans="1:16" ht="14.4">
      <c r="A38" s="21">
        <v>166</v>
      </c>
      <c r="B38" s="20" t="s">
        <v>13</v>
      </c>
      <c r="C38" s="20" t="s">
        <v>14</v>
      </c>
      <c r="D38" s="20" t="s">
        <v>354</v>
      </c>
      <c r="E38" s="21">
        <v>9936888000</v>
      </c>
      <c r="F38" s="19" t="s">
        <v>355</v>
      </c>
      <c r="G38" s="20" t="s">
        <v>56</v>
      </c>
      <c r="H38" s="21">
        <v>4.8</v>
      </c>
      <c r="I38" s="21">
        <v>16173</v>
      </c>
      <c r="J38" s="20" t="s">
        <v>56</v>
      </c>
      <c r="K38" s="20" t="s">
        <v>610</v>
      </c>
      <c r="L38" s="21">
        <v>0.96</v>
      </c>
      <c r="M38" s="20" t="s">
        <v>621</v>
      </c>
      <c r="N38" s="20" t="s">
        <v>622</v>
      </c>
      <c r="O38" s="20" t="s">
        <v>622</v>
      </c>
      <c r="P38" s="21">
        <v>1</v>
      </c>
    </row>
    <row r="39" spans="1:16" ht="14.4">
      <c r="A39" s="21">
        <v>167</v>
      </c>
      <c r="B39" s="20" t="s">
        <v>13</v>
      </c>
      <c r="C39" s="20" t="s">
        <v>14</v>
      </c>
      <c r="D39" s="20" t="s">
        <v>356</v>
      </c>
      <c r="E39" s="21">
        <v>8874888805</v>
      </c>
      <c r="F39" s="19" t="s">
        <v>357</v>
      </c>
      <c r="G39" s="20" t="s">
        <v>358</v>
      </c>
      <c r="H39" s="21">
        <v>4.5</v>
      </c>
      <c r="I39" s="21">
        <v>1092</v>
      </c>
      <c r="J39" s="20" t="s">
        <v>358</v>
      </c>
      <c r="K39" s="20" t="s">
        <v>610</v>
      </c>
      <c r="L39" s="21">
        <v>0.9</v>
      </c>
      <c r="M39" s="20" t="s">
        <v>621</v>
      </c>
      <c r="N39" s="20" t="s">
        <v>622</v>
      </c>
      <c r="O39" s="20" t="s">
        <v>622</v>
      </c>
      <c r="P39" s="21">
        <v>1</v>
      </c>
    </row>
    <row r="40" spans="1:16" ht="14.4">
      <c r="A40" s="21">
        <v>168</v>
      </c>
      <c r="B40" s="20" t="s">
        <v>13</v>
      </c>
      <c r="C40" s="20" t="s">
        <v>14</v>
      </c>
      <c r="D40" s="20" t="s">
        <v>359</v>
      </c>
      <c r="E40" s="21">
        <v>9919990331</v>
      </c>
      <c r="F40" s="19" t="s">
        <v>360</v>
      </c>
      <c r="G40" s="20" t="s">
        <v>358</v>
      </c>
      <c r="H40" s="21">
        <v>4.3</v>
      </c>
      <c r="I40" s="21">
        <v>517</v>
      </c>
      <c r="J40" s="20" t="s">
        <v>358</v>
      </c>
      <c r="K40" s="20" t="s">
        <v>610</v>
      </c>
      <c r="L40" s="21">
        <v>0.86</v>
      </c>
      <c r="M40" s="20" t="s">
        <v>621</v>
      </c>
      <c r="N40" s="20" t="s">
        <v>622</v>
      </c>
      <c r="O40" s="20" t="s">
        <v>622</v>
      </c>
      <c r="P40" s="21">
        <v>0.98</v>
      </c>
    </row>
    <row r="41" spans="1:16" ht="14.4">
      <c r="A41" s="21">
        <v>169</v>
      </c>
      <c r="B41" s="20" t="s">
        <v>13</v>
      </c>
      <c r="C41" s="20" t="s">
        <v>14</v>
      </c>
      <c r="D41" s="20" t="s">
        <v>361</v>
      </c>
      <c r="E41" s="21">
        <v>8400399594</v>
      </c>
      <c r="F41" s="19" t="s">
        <v>362</v>
      </c>
      <c r="G41" s="20" t="s">
        <v>358</v>
      </c>
      <c r="H41" s="21">
        <v>4.7</v>
      </c>
      <c r="I41" s="21">
        <v>709</v>
      </c>
      <c r="J41" s="20" t="s">
        <v>358</v>
      </c>
      <c r="K41" s="20" t="s">
        <v>610</v>
      </c>
      <c r="L41" s="21">
        <v>0.94</v>
      </c>
      <c r="M41" s="20" t="s">
        <v>621</v>
      </c>
      <c r="N41" s="20" t="s">
        <v>622</v>
      </c>
      <c r="O41" s="20" t="s">
        <v>622</v>
      </c>
      <c r="P41" s="21">
        <v>1</v>
      </c>
    </row>
    <row r="42" spans="1:16" ht="14.4">
      <c r="A42" s="21">
        <v>175</v>
      </c>
      <c r="B42" s="20" t="s">
        <v>13</v>
      </c>
      <c r="C42" s="20" t="s">
        <v>14</v>
      </c>
      <c r="D42" s="20" t="s">
        <v>361</v>
      </c>
      <c r="E42" s="21">
        <v>8400399594</v>
      </c>
      <c r="F42" s="19" t="s">
        <v>362</v>
      </c>
      <c r="G42" s="20" t="s">
        <v>358</v>
      </c>
      <c r="H42" s="21">
        <v>4.7</v>
      </c>
      <c r="I42" s="21">
        <v>709</v>
      </c>
      <c r="J42" s="20" t="s">
        <v>358</v>
      </c>
      <c r="K42" s="20" t="s">
        <v>610</v>
      </c>
      <c r="L42" s="21">
        <v>0.94</v>
      </c>
      <c r="M42" s="20" t="s">
        <v>621</v>
      </c>
      <c r="N42" s="20" t="s">
        <v>622</v>
      </c>
      <c r="O42" s="20" t="s">
        <v>622</v>
      </c>
      <c r="P42" s="21">
        <v>1</v>
      </c>
    </row>
    <row r="43" spans="1:16" ht="14.4">
      <c r="A43" s="21">
        <v>176</v>
      </c>
      <c r="B43" s="20" t="s">
        <v>13</v>
      </c>
      <c r="C43" s="20" t="s">
        <v>14</v>
      </c>
      <c r="D43" s="20" t="s">
        <v>373</v>
      </c>
      <c r="E43" s="21">
        <v>9919990331</v>
      </c>
      <c r="F43" s="19" t="s">
        <v>374</v>
      </c>
      <c r="G43" s="20" t="s">
        <v>358</v>
      </c>
      <c r="H43" s="21">
        <v>4.3</v>
      </c>
      <c r="I43" s="21">
        <v>517</v>
      </c>
      <c r="J43" s="20" t="s">
        <v>358</v>
      </c>
      <c r="K43" s="20" t="s">
        <v>610</v>
      </c>
      <c r="L43" s="21">
        <v>0.86</v>
      </c>
      <c r="M43" s="20" t="s">
        <v>621</v>
      </c>
      <c r="N43" s="20" t="s">
        <v>622</v>
      </c>
      <c r="O43" s="20" t="s">
        <v>622</v>
      </c>
      <c r="P43" s="21">
        <v>0.98</v>
      </c>
    </row>
    <row r="44" spans="1:16" ht="14.4">
      <c r="A44" s="21">
        <v>178</v>
      </c>
      <c r="B44" s="20" t="s">
        <v>13</v>
      </c>
      <c r="C44" s="20" t="s">
        <v>14</v>
      </c>
      <c r="D44" s="20" t="s">
        <v>377</v>
      </c>
      <c r="E44" s="21">
        <v>5224044777</v>
      </c>
      <c r="F44" s="19" t="s">
        <v>378</v>
      </c>
      <c r="G44" s="20" t="s">
        <v>358</v>
      </c>
      <c r="H44" s="21">
        <v>4.2</v>
      </c>
      <c r="I44" s="21">
        <v>11214</v>
      </c>
      <c r="J44" s="20" t="s">
        <v>358</v>
      </c>
      <c r="K44" s="20" t="s">
        <v>610</v>
      </c>
      <c r="L44" s="21">
        <v>0.84</v>
      </c>
      <c r="M44" s="20" t="s">
        <v>621</v>
      </c>
      <c r="N44" s="20" t="s">
        <v>622</v>
      </c>
      <c r="O44" s="20" t="s">
        <v>622</v>
      </c>
      <c r="P44" s="21">
        <v>1</v>
      </c>
    </row>
    <row r="45" spans="1:16" ht="14.4">
      <c r="A45" s="21">
        <v>179</v>
      </c>
      <c r="B45" s="20" t="s">
        <v>13</v>
      </c>
      <c r="C45" s="20" t="s">
        <v>14</v>
      </c>
      <c r="D45" s="20" t="s">
        <v>379</v>
      </c>
      <c r="E45" s="21">
        <v>5224048101</v>
      </c>
      <c r="F45" s="19" t="s">
        <v>380</v>
      </c>
      <c r="G45" s="20" t="s">
        <v>358</v>
      </c>
      <c r="H45" s="21">
        <v>4.2</v>
      </c>
      <c r="I45" s="21">
        <v>16289</v>
      </c>
      <c r="J45" s="20" t="s">
        <v>358</v>
      </c>
      <c r="K45" s="20" t="s">
        <v>610</v>
      </c>
      <c r="L45" s="21">
        <v>0.84</v>
      </c>
      <c r="M45" s="20" t="s">
        <v>621</v>
      </c>
      <c r="N45" s="20" t="s">
        <v>622</v>
      </c>
      <c r="O45" s="20" t="s">
        <v>622</v>
      </c>
      <c r="P45" s="21">
        <v>1</v>
      </c>
    </row>
    <row r="46" spans="1:16" ht="14.4">
      <c r="A46" s="21">
        <v>181</v>
      </c>
      <c r="B46" s="20" t="s">
        <v>13</v>
      </c>
      <c r="C46" s="20" t="s">
        <v>14</v>
      </c>
      <c r="D46" s="20" t="s">
        <v>383</v>
      </c>
      <c r="E46" s="21">
        <v>9839023902</v>
      </c>
      <c r="F46" s="19" t="s">
        <v>384</v>
      </c>
      <c r="G46" s="20" t="s">
        <v>358</v>
      </c>
      <c r="H46" s="21">
        <v>4.2</v>
      </c>
      <c r="I46" s="21">
        <v>6398</v>
      </c>
      <c r="J46" s="20" t="s">
        <v>358</v>
      </c>
      <c r="K46" s="20" t="s">
        <v>610</v>
      </c>
      <c r="L46" s="21">
        <v>0.84</v>
      </c>
      <c r="M46" s="20" t="s">
        <v>621</v>
      </c>
      <c r="N46" s="20" t="s">
        <v>622</v>
      </c>
      <c r="O46" s="20" t="s">
        <v>622</v>
      </c>
      <c r="P46" s="21">
        <v>1</v>
      </c>
    </row>
    <row r="47" spans="1:16" ht="14.4">
      <c r="A47" s="21">
        <v>182</v>
      </c>
      <c r="B47" s="20" t="s">
        <v>13</v>
      </c>
      <c r="C47" s="20" t="s">
        <v>14</v>
      </c>
      <c r="D47" s="20" t="s">
        <v>385</v>
      </c>
      <c r="E47" s="21">
        <v>9839397979</v>
      </c>
      <c r="F47" s="19" t="s">
        <v>386</v>
      </c>
      <c r="G47" s="20" t="s">
        <v>358</v>
      </c>
      <c r="H47" s="21">
        <v>4.4000000000000004</v>
      </c>
      <c r="I47" s="21">
        <v>2252</v>
      </c>
      <c r="J47" s="20" t="s">
        <v>358</v>
      </c>
      <c r="K47" s="20" t="s">
        <v>610</v>
      </c>
      <c r="L47" s="21">
        <v>0.88</v>
      </c>
      <c r="M47" s="20" t="s">
        <v>621</v>
      </c>
      <c r="N47" s="20" t="s">
        <v>622</v>
      </c>
      <c r="O47" s="20" t="s">
        <v>622</v>
      </c>
      <c r="P47" s="21">
        <v>1</v>
      </c>
    </row>
    <row r="48" spans="1:16" ht="14.4">
      <c r="A48" s="21">
        <v>183</v>
      </c>
      <c r="B48" s="20" t="s">
        <v>13</v>
      </c>
      <c r="C48" s="20" t="s">
        <v>14</v>
      </c>
      <c r="D48" s="20" t="s">
        <v>387</v>
      </c>
      <c r="E48" s="21">
        <v>6392502020</v>
      </c>
      <c r="F48" s="19" t="s">
        <v>388</v>
      </c>
      <c r="G48" s="20" t="s">
        <v>358</v>
      </c>
      <c r="H48" s="21">
        <v>4.3</v>
      </c>
      <c r="I48" s="21">
        <v>322</v>
      </c>
      <c r="J48" s="20" t="s">
        <v>358</v>
      </c>
      <c r="K48" s="20" t="s">
        <v>610</v>
      </c>
      <c r="L48" s="21">
        <v>0.86</v>
      </c>
      <c r="M48" s="20" t="s">
        <v>621</v>
      </c>
      <c r="N48" s="20" t="s">
        <v>622</v>
      </c>
      <c r="O48" s="20" t="s">
        <v>622</v>
      </c>
      <c r="P48" s="21">
        <v>0.97</v>
      </c>
    </row>
    <row r="49" spans="1:16" ht="14.4">
      <c r="A49" s="21">
        <v>184</v>
      </c>
      <c r="B49" s="20" t="s">
        <v>13</v>
      </c>
      <c r="C49" s="20" t="s">
        <v>14</v>
      </c>
      <c r="D49" s="20" t="s">
        <v>389</v>
      </c>
      <c r="E49" s="21">
        <v>9936438000</v>
      </c>
      <c r="F49" s="19" t="s">
        <v>390</v>
      </c>
      <c r="G49" s="20" t="s">
        <v>358</v>
      </c>
      <c r="H49" s="21">
        <v>4.0999999999999996</v>
      </c>
      <c r="I49" s="21">
        <v>9553</v>
      </c>
      <c r="J49" s="20" t="s">
        <v>358</v>
      </c>
      <c r="K49" s="20" t="s">
        <v>610</v>
      </c>
      <c r="L49" s="21">
        <v>0.82</v>
      </c>
      <c r="M49" s="20" t="s">
        <v>621</v>
      </c>
      <c r="N49" s="20" t="s">
        <v>622</v>
      </c>
      <c r="O49" s="20" t="s">
        <v>622</v>
      </c>
      <c r="P49" s="21">
        <v>0.96</v>
      </c>
    </row>
    <row r="50" spans="1:16" ht="14.4">
      <c r="A50" s="21">
        <v>185</v>
      </c>
      <c r="B50" s="20" t="s">
        <v>13</v>
      </c>
      <c r="C50" s="20" t="s">
        <v>14</v>
      </c>
      <c r="D50" s="20" t="s">
        <v>391</v>
      </c>
      <c r="E50" s="21">
        <v>9005770888</v>
      </c>
      <c r="F50" s="19" t="s">
        <v>392</v>
      </c>
      <c r="G50" s="20" t="s">
        <v>358</v>
      </c>
      <c r="H50" s="21">
        <v>4.3</v>
      </c>
      <c r="I50" s="21">
        <v>1291</v>
      </c>
      <c r="J50" s="20" t="s">
        <v>358</v>
      </c>
      <c r="K50" s="20" t="s">
        <v>610</v>
      </c>
      <c r="L50" s="21">
        <v>0.86</v>
      </c>
      <c r="M50" s="20" t="s">
        <v>621</v>
      </c>
      <c r="N50" s="20" t="s">
        <v>622</v>
      </c>
      <c r="O50" s="20" t="s">
        <v>622</v>
      </c>
      <c r="P50" s="21">
        <v>1</v>
      </c>
    </row>
    <row r="51" spans="1:16" ht="14.4">
      <c r="A51" s="21">
        <v>187</v>
      </c>
      <c r="B51" s="20" t="s">
        <v>13</v>
      </c>
      <c r="C51" s="20" t="s">
        <v>14</v>
      </c>
      <c r="D51" s="20" t="s">
        <v>395</v>
      </c>
      <c r="E51" s="21">
        <v>8957331424</v>
      </c>
      <c r="F51" s="19" t="s">
        <v>396</v>
      </c>
      <c r="G51" s="20" t="s">
        <v>358</v>
      </c>
      <c r="H51" s="21">
        <v>4.3</v>
      </c>
      <c r="I51" s="21">
        <v>1101</v>
      </c>
      <c r="J51" s="20" t="s">
        <v>358</v>
      </c>
      <c r="K51" s="20" t="s">
        <v>610</v>
      </c>
      <c r="L51" s="21">
        <v>0.86</v>
      </c>
      <c r="M51" s="20" t="s">
        <v>621</v>
      </c>
      <c r="N51" s="20" t="s">
        <v>622</v>
      </c>
      <c r="O51" s="20" t="s">
        <v>622</v>
      </c>
      <c r="P51" s="21">
        <v>1</v>
      </c>
    </row>
    <row r="52" spans="1:16" ht="14.4">
      <c r="A52" s="21">
        <v>188</v>
      </c>
      <c r="B52" s="20" t="s">
        <v>13</v>
      </c>
      <c r="C52" s="20" t="s">
        <v>14</v>
      </c>
      <c r="D52" s="20" t="s">
        <v>397</v>
      </c>
      <c r="E52" s="21">
        <v>8175956711</v>
      </c>
      <c r="F52" s="19" t="s">
        <v>398</v>
      </c>
      <c r="G52" s="20" t="s">
        <v>358</v>
      </c>
      <c r="H52" s="21">
        <v>4.3</v>
      </c>
      <c r="I52" s="21">
        <v>1558</v>
      </c>
      <c r="J52" s="20" t="s">
        <v>358</v>
      </c>
      <c r="K52" s="20" t="s">
        <v>610</v>
      </c>
      <c r="L52" s="21">
        <v>0.86</v>
      </c>
      <c r="M52" s="20" t="s">
        <v>621</v>
      </c>
      <c r="N52" s="20" t="s">
        <v>622</v>
      </c>
      <c r="O52" s="20" t="s">
        <v>622</v>
      </c>
      <c r="P52" s="21">
        <v>1</v>
      </c>
    </row>
    <row r="53" spans="1:16" ht="14.4">
      <c r="A53" s="21">
        <v>189</v>
      </c>
      <c r="B53" s="20" t="s">
        <v>13</v>
      </c>
      <c r="C53" s="20" t="s">
        <v>14</v>
      </c>
      <c r="D53" s="20" t="s">
        <v>399</v>
      </c>
      <c r="E53" s="21">
        <v>7235811114</v>
      </c>
      <c r="F53" s="19" t="s">
        <v>400</v>
      </c>
      <c r="G53" s="20" t="s">
        <v>358</v>
      </c>
      <c r="H53" s="21">
        <v>4.2</v>
      </c>
      <c r="I53" s="21">
        <v>919</v>
      </c>
      <c r="J53" s="20" t="s">
        <v>358</v>
      </c>
      <c r="K53" s="20" t="s">
        <v>610</v>
      </c>
      <c r="L53" s="21">
        <v>0.84</v>
      </c>
      <c r="M53" s="20" t="s">
        <v>621</v>
      </c>
      <c r="N53" s="20" t="s">
        <v>622</v>
      </c>
      <c r="O53" s="20" t="s">
        <v>622</v>
      </c>
      <c r="P53" s="21">
        <v>1</v>
      </c>
    </row>
    <row r="54" spans="1:16" ht="14.4">
      <c r="A54" s="21">
        <v>195</v>
      </c>
      <c r="B54" s="20" t="s">
        <v>13</v>
      </c>
      <c r="C54" s="20" t="s">
        <v>14</v>
      </c>
      <c r="D54" s="20" t="s">
        <v>411</v>
      </c>
      <c r="E54" s="21">
        <v>5224113801</v>
      </c>
      <c r="F54" s="19" t="s">
        <v>412</v>
      </c>
      <c r="G54" s="20" t="s">
        <v>358</v>
      </c>
      <c r="H54" s="21">
        <v>3.9</v>
      </c>
      <c r="I54" s="21">
        <v>1270</v>
      </c>
      <c r="J54" s="20" t="s">
        <v>358</v>
      </c>
      <c r="K54" s="20" t="s">
        <v>610</v>
      </c>
      <c r="L54" s="21">
        <v>0.78</v>
      </c>
      <c r="M54" s="20" t="s">
        <v>621</v>
      </c>
      <c r="N54" s="20" t="s">
        <v>622</v>
      </c>
      <c r="O54" s="20" t="s">
        <v>622</v>
      </c>
      <c r="P54" s="21">
        <v>0.79</v>
      </c>
    </row>
    <row r="55" spans="1:16" ht="14.4">
      <c r="A55" s="21">
        <v>196</v>
      </c>
      <c r="B55" s="20" t="s">
        <v>13</v>
      </c>
      <c r="C55" s="20" t="s">
        <v>14</v>
      </c>
      <c r="D55" s="20" t="s">
        <v>413</v>
      </c>
      <c r="E55" s="21">
        <v>7318254638</v>
      </c>
      <c r="F55" s="19" t="s">
        <v>414</v>
      </c>
      <c r="G55" s="20" t="s">
        <v>358</v>
      </c>
      <c r="H55" s="21">
        <v>4.4000000000000004</v>
      </c>
      <c r="I55" s="21">
        <v>869</v>
      </c>
      <c r="J55" s="20" t="s">
        <v>358</v>
      </c>
      <c r="K55" s="20" t="s">
        <v>610</v>
      </c>
      <c r="L55" s="21">
        <v>0.88</v>
      </c>
      <c r="M55" s="20" t="s">
        <v>621</v>
      </c>
      <c r="N55" s="20" t="s">
        <v>622</v>
      </c>
      <c r="O55" s="20" t="s">
        <v>622</v>
      </c>
      <c r="P55" s="21">
        <v>1</v>
      </c>
    </row>
    <row r="56" spans="1:16" ht="14.4">
      <c r="A56" s="21">
        <v>197</v>
      </c>
      <c r="B56" s="20" t="s">
        <v>13</v>
      </c>
      <c r="C56" s="20" t="s">
        <v>14</v>
      </c>
      <c r="D56" s="20" t="s">
        <v>415</v>
      </c>
      <c r="E56" s="21">
        <v>9115005777</v>
      </c>
      <c r="F56" s="19" t="s">
        <v>416</v>
      </c>
      <c r="G56" s="20" t="s">
        <v>358</v>
      </c>
      <c r="H56" s="21">
        <v>4.5</v>
      </c>
      <c r="I56" s="21">
        <v>5092</v>
      </c>
      <c r="J56" s="20" t="s">
        <v>358</v>
      </c>
      <c r="K56" s="20" t="s">
        <v>610</v>
      </c>
      <c r="L56" s="21">
        <v>0.9</v>
      </c>
      <c r="M56" s="20" t="s">
        <v>621</v>
      </c>
      <c r="N56" s="20" t="s">
        <v>622</v>
      </c>
      <c r="O56" s="20" t="s">
        <v>622</v>
      </c>
      <c r="P56" s="21">
        <v>1</v>
      </c>
    </row>
    <row r="57" spans="1:16" ht="14.4">
      <c r="A57" s="21">
        <v>198</v>
      </c>
      <c r="B57" s="20" t="s">
        <v>13</v>
      </c>
      <c r="C57" s="20" t="s">
        <v>14</v>
      </c>
      <c r="D57" s="20" t="s">
        <v>417</v>
      </c>
      <c r="E57" s="21">
        <v>5222620131</v>
      </c>
      <c r="F57" s="19" t="s">
        <v>418</v>
      </c>
      <c r="G57" s="20" t="s">
        <v>358</v>
      </c>
      <c r="H57" s="21">
        <v>4</v>
      </c>
      <c r="I57" s="21">
        <v>723</v>
      </c>
      <c r="J57" s="20" t="s">
        <v>358</v>
      </c>
      <c r="K57" s="20" t="s">
        <v>610</v>
      </c>
      <c r="L57" s="21">
        <v>0.8</v>
      </c>
      <c r="M57" s="20" t="s">
        <v>621</v>
      </c>
      <c r="N57" s="20" t="s">
        <v>622</v>
      </c>
      <c r="O57" s="20" t="s">
        <v>622</v>
      </c>
      <c r="P57" s="21">
        <v>0.71</v>
      </c>
    </row>
    <row r="58" spans="1:16" ht="14.4">
      <c r="A58" s="21">
        <v>199</v>
      </c>
      <c r="B58" s="20" t="s">
        <v>13</v>
      </c>
      <c r="C58" s="20" t="s">
        <v>14</v>
      </c>
      <c r="D58" s="20" t="s">
        <v>419</v>
      </c>
      <c r="E58" s="21">
        <v>9119603535</v>
      </c>
      <c r="F58" s="19" t="s">
        <v>420</v>
      </c>
      <c r="G58" s="20" t="s">
        <v>358</v>
      </c>
      <c r="H58" s="21">
        <v>4.0999999999999996</v>
      </c>
      <c r="I58" s="21">
        <v>1690</v>
      </c>
      <c r="J58" s="20" t="s">
        <v>358</v>
      </c>
      <c r="K58" s="20" t="s">
        <v>610</v>
      </c>
      <c r="L58" s="21">
        <v>0.82</v>
      </c>
      <c r="M58" s="20" t="s">
        <v>621</v>
      </c>
      <c r="N58" s="20" t="s">
        <v>622</v>
      </c>
      <c r="O58" s="20" t="s">
        <v>622</v>
      </c>
      <c r="P58" s="21">
        <v>0.95</v>
      </c>
    </row>
    <row r="59" spans="1:16" ht="14.4">
      <c r="A59" s="21">
        <v>201</v>
      </c>
      <c r="B59" s="20" t="s">
        <v>13</v>
      </c>
      <c r="C59" s="20" t="s">
        <v>14</v>
      </c>
      <c r="D59" s="20" t="s">
        <v>423</v>
      </c>
      <c r="E59" s="21">
        <v>8318527077</v>
      </c>
      <c r="F59" s="19" t="s">
        <v>424</v>
      </c>
      <c r="G59" s="20" t="s">
        <v>213</v>
      </c>
      <c r="H59" s="21">
        <v>4.4000000000000004</v>
      </c>
      <c r="I59" s="21">
        <v>631</v>
      </c>
      <c r="J59" s="20" t="s">
        <v>213</v>
      </c>
      <c r="K59" s="20" t="s">
        <v>610</v>
      </c>
      <c r="L59" s="21">
        <v>0.88</v>
      </c>
      <c r="M59" s="20" t="s">
        <v>621</v>
      </c>
      <c r="N59" s="20" t="s">
        <v>622</v>
      </c>
      <c r="O59" s="20" t="s">
        <v>622</v>
      </c>
      <c r="P59" s="21">
        <v>0.96</v>
      </c>
    </row>
    <row r="60" spans="1:16" ht="14.4">
      <c r="A60" s="21">
        <v>202</v>
      </c>
      <c r="B60" s="20" t="s">
        <v>13</v>
      </c>
      <c r="C60" s="20" t="s">
        <v>14</v>
      </c>
      <c r="D60" s="20" t="s">
        <v>425</v>
      </c>
      <c r="E60" s="21">
        <v>5224072223</v>
      </c>
      <c r="F60" s="19" t="s">
        <v>426</v>
      </c>
      <c r="G60" s="20" t="s">
        <v>213</v>
      </c>
      <c r="H60" s="21">
        <v>4.0999999999999996</v>
      </c>
      <c r="I60" s="21">
        <v>910</v>
      </c>
      <c r="J60" s="20" t="s">
        <v>213</v>
      </c>
      <c r="K60" s="20" t="s">
        <v>610</v>
      </c>
      <c r="L60" s="21">
        <v>0.82</v>
      </c>
      <c r="M60" s="20" t="s">
        <v>621</v>
      </c>
      <c r="N60" s="20" t="s">
        <v>622</v>
      </c>
      <c r="O60" s="20" t="s">
        <v>622</v>
      </c>
      <c r="P60" s="21">
        <v>0.86</v>
      </c>
    </row>
    <row r="61" spans="1:16" ht="14.4">
      <c r="A61" s="21">
        <v>203</v>
      </c>
      <c r="B61" s="20" t="s">
        <v>13</v>
      </c>
      <c r="C61" s="20" t="s">
        <v>14</v>
      </c>
      <c r="D61" s="20" t="s">
        <v>427</v>
      </c>
      <c r="E61" s="21">
        <v>8182875927</v>
      </c>
      <c r="F61" s="19" t="s">
        <v>428</v>
      </c>
      <c r="G61" s="20" t="s">
        <v>213</v>
      </c>
      <c r="H61" s="21">
        <v>4.2</v>
      </c>
      <c r="I61" s="21">
        <v>825</v>
      </c>
      <c r="J61" s="20" t="s">
        <v>213</v>
      </c>
      <c r="K61" s="20" t="s">
        <v>610</v>
      </c>
      <c r="L61" s="21">
        <v>0.84</v>
      </c>
      <c r="M61" s="20" t="s">
        <v>621</v>
      </c>
      <c r="N61" s="20" t="s">
        <v>622</v>
      </c>
      <c r="O61" s="20" t="s">
        <v>622</v>
      </c>
      <c r="P61" s="21">
        <v>1</v>
      </c>
    </row>
    <row r="62" spans="1:16" ht="14.4">
      <c r="A62" s="21">
        <v>204</v>
      </c>
      <c r="B62" s="20" t="s">
        <v>13</v>
      </c>
      <c r="C62" s="20" t="s">
        <v>14</v>
      </c>
      <c r="D62" s="20" t="s">
        <v>429</v>
      </c>
      <c r="E62" s="21">
        <v>9235555780</v>
      </c>
      <c r="F62" s="19" t="s">
        <v>430</v>
      </c>
      <c r="G62" s="20" t="s">
        <v>213</v>
      </c>
      <c r="H62" s="21">
        <v>4</v>
      </c>
      <c r="I62" s="21">
        <v>2175</v>
      </c>
      <c r="J62" s="20" t="s">
        <v>213</v>
      </c>
      <c r="K62" s="20" t="s">
        <v>610</v>
      </c>
      <c r="L62" s="21">
        <v>0.8</v>
      </c>
      <c r="M62" s="20" t="s">
        <v>621</v>
      </c>
      <c r="N62" s="20" t="s">
        <v>622</v>
      </c>
      <c r="O62" s="20" t="s">
        <v>622</v>
      </c>
      <c r="P62" s="21">
        <v>0.98</v>
      </c>
    </row>
    <row r="63" spans="1:16" ht="14.4">
      <c r="A63" s="21">
        <v>206</v>
      </c>
      <c r="B63" s="20" t="s">
        <v>13</v>
      </c>
      <c r="C63" s="20" t="s">
        <v>14</v>
      </c>
      <c r="D63" s="20" t="s">
        <v>433</v>
      </c>
      <c r="E63" s="21">
        <v>5224101530</v>
      </c>
      <c r="F63" s="19" t="s">
        <v>434</v>
      </c>
      <c r="G63" s="20" t="s">
        <v>213</v>
      </c>
      <c r="H63" s="21">
        <v>4.0999999999999996</v>
      </c>
      <c r="I63" s="21">
        <v>1148</v>
      </c>
      <c r="J63" s="20" t="s">
        <v>213</v>
      </c>
      <c r="K63" s="20" t="s">
        <v>610</v>
      </c>
      <c r="L63" s="21">
        <v>0.82</v>
      </c>
      <c r="M63" s="20" t="s">
        <v>621</v>
      </c>
      <c r="N63" s="20" t="s">
        <v>622</v>
      </c>
      <c r="O63" s="20" t="s">
        <v>622</v>
      </c>
      <c r="P63" s="21">
        <v>0.93</v>
      </c>
    </row>
    <row r="64" spans="1:16" ht="14.4">
      <c r="A64" s="21">
        <v>207</v>
      </c>
      <c r="B64" s="20" t="s">
        <v>13</v>
      </c>
      <c r="C64" s="20" t="s">
        <v>14</v>
      </c>
      <c r="D64" s="20" t="s">
        <v>435</v>
      </c>
      <c r="E64" s="21">
        <v>7523868301</v>
      </c>
      <c r="F64" s="19" t="s">
        <v>436</v>
      </c>
      <c r="G64" s="20" t="s">
        <v>213</v>
      </c>
      <c r="H64" s="21">
        <v>4.4000000000000004</v>
      </c>
      <c r="I64" s="21">
        <v>8497</v>
      </c>
      <c r="J64" s="20" t="s">
        <v>213</v>
      </c>
      <c r="K64" s="20" t="s">
        <v>610</v>
      </c>
      <c r="L64" s="21">
        <v>0.88</v>
      </c>
      <c r="M64" s="20" t="s">
        <v>621</v>
      </c>
      <c r="N64" s="20" t="s">
        <v>622</v>
      </c>
      <c r="O64" s="20" t="s">
        <v>622</v>
      </c>
      <c r="P64" s="21">
        <v>1</v>
      </c>
    </row>
    <row r="65" spans="1:16" ht="14.4">
      <c r="A65" s="21">
        <v>232</v>
      </c>
      <c r="B65" s="20" t="s">
        <v>25</v>
      </c>
      <c r="C65" s="20" t="s">
        <v>26</v>
      </c>
      <c r="D65" s="20" t="s">
        <v>475</v>
      </c>
      <c r="E65" s="21">
        <v>12122550854</v>
      </c>
      <c r="F65" s="19" t="s">
        <v>476</v>
      </c>
      <c r="G65" s="20" t="s">
        <v>325</v>
      </c>
      <c r="H65" s="21">
        <v>4.7</v>
      </c>
      <c r="I65" s="21">
        <v>91</v>
      </c>
      <c r="J65" s="20" t="s">
        <v>325</v>
      </c>
      <c r="K65" s="20" t="s">
        <v>613</v>
      </c>
      <c r="L65" s="21">
        <v>0.94</v>
      </c>
      <c r="M65" s="20" t="s">
        <v>621</v>
      </c>
      <c r="N65" s="20" t="s">
        <v>622</v>
      </c>
      <c r="O65" s="20" t="s">
        <v>622</v>
      </c>
      <c r="P65" s="21">
        <v>0.69</v>
      </c>
    </row>
    <row r="66" spans="1:16" ht="14.4">
      <c r="A66" s="21">
        <v>233</v>
      </c>
      <c r="B66" s="20" t="s">
        <v>25</v>
      </c>
      <c r="C66" s="20" t="s">
        <v>26</v>
      </c>
      <c r="D66" s="20" t="s">
        <v>477</v>
      </c>
      <c r="E66" s="21">
        <v>12125052029</v>
      </c>
      <c r="F66" s="19" t="s">
        <v>478</v>
      </c>
      <c r="G66" s="20" t="s">
        <v>213</v>
      </c>
      <c r="H66" s="21">
        <v>4.4000000000000004</v>
      </c>
      <c r="I66" s="21">
        <v>239</v>
      </c>
      <c r="J66" s="20" t="s">
        <v>213</v>
      </c>
      <c r="K66" s="20" t="s">
        <v>613</v>
      </c>
      <c r="L66" s="21">
        <v>0.88</v>
      </c>
      <c r="M66" s="20" t="s">
        <v>621</v>
      </c>
      <c r="N66" s="20" t="s">
        <v>622</v>
      </c>
      <c r="O66" s="20" t="s">
        <v>622</v>
      </c>
      <c r="P66" s="21">
        <v>0.81</v>
      </c>
    </row>
    <row r="67" spans="1:16" ht="14.4">
      <c r="A67" s="21">
        <v>255</v>
      </c>
      <c r="B67" s="20" t="s">
        <v>13</v>
      </c>
      <c r="C67" s="20" t="s">
        <v>481</v>
      </c>
      <c r="D67" s="20" t="s">
        <v>522</v>
      </c>
      <c r="E67" s="21">
        <v>9304398435</v>
      </c>
      <c r="F67" s="19" t="s">
        <v>523</v>
      </c>
      <c r="G67" s="20" t="s">
        <v>61</v>
      </c>
      <c r="H67" s="21">
        <v>5</v>
      </c>
      <c r="I67" s="21">
        <v>138</v>
      </c>
      <c r="J67" s="20" t="s">
        <v>61</v>
      </c>
      <c r="K67" s="20" t="s">
        <v>610</v>
      </c>
      <c r="L67" s="21">
        <v>1</v>
      </c>
      <c r="M67" s="20" t="s">
        <v>621</v>
      </c>
      <c r="N67" s="20" t="s">
        <v>622</v>
      </c>
      <c r="O67" s="20" t="s">
        <v>622</v>
      </c>
      <c r="P67" s="21">
        <v>0.99</v>
      </c>
    </row>
    <row r="68" spans="1:16" ht="14.4">
      <c r="A68" s="21">
        <v>256</v>
      </c>
      <c r="B68" s="20" t="s">
        <v>13</v>
      </c>
      <c r="C68" s="20" t="s">
        <v>481</v>
      </c>
      <c r="D68" s="20" t="s">
        <v>524</v>
      </c>
      <c r="E68" s="21">
        <v>7768030303</v>
      </c>
      <c r="F68" s="19" t="s">
        <v>525</v>
      </c>
      <c r="G68" s="20" t="s">
        <v>61</v>
      </c>
      <c r="H68" s="21">
        <v>4.8</v>
      </c>
      <c r="I68" s="21">
        <v>236</v>
      </c>
      <c r="J68" s="20" t="s">
        <v>61</v>
      </c>
      <c r="K68" s="20" t="s">
        <v>610</v>
      </c>
      <c r="L68" s="21">
        <v>0.96</v>
      </c>
      <c r="M68" s="20" t="s">
        <v>621</v>
      </c>
      <c r="N68" s="20" t="s">
        <v>622</v>
      </c>
      <c r="O68" s="20" t="s">
        <v>622</v>
      </c>
      <c r="P68" s="21">
        <v>0.96</v>
      </c>
    </row>
    <row r="69" spans="1:16" ht="14.4">
      <c r="A69" s="21">
        <v>258</v>
      </c>
      <c r="B69" s="20" t="s">
        <v>13</v>
      </c>
      <c r="C69" s="20" t="s">
        <v>481</v>
      </c>
      <c r="D69" s="20" t="s">
        <v>528</v>
      </c>
      <c r="E69" s="21">
        <v>9117177771</v>
      </c>
      <c r="F69" s="19" t="s">
        <v>529</v>
      </c>
      <c r="G69" s="20" t="s">
        <v>61</v>
      </c>
      <c r="H69" s="21">
        <v>4.7</v>
      </c>
      <c r="I69" s="21">
        <v>161</v>
      </c>
      <c r="J69" s="20" t="s">
        <v>61</v>
      </c>
      <c r="K69" s="20" t="s">
        <v>610</v>
      </c>
      <c r="L69" s="21">
        <v>0.94</v>
      </c>
      <c r="M69" s="20" t="s">
        <v>621</v>
      </c>
      <c r="N69" s="20" t="s">
        <v>622</v>
      </c>
      <c r="O69" s="20" t="s">
        <v>622</v>
      </c>
      <c r="P69" s="21">
        <v>0.93</v>
      </c>
    </row>
    <row r="70" spans="1:16" ht="14.4">
      <c r="A70" s="21">
        <v>259</v>
      </c>
      <c r="B70" s="20" t="s">
        <v>13</v>
      </c>
      <c r="C70" s="20" t="s">
        <v>481</v>
      </c>
      <c r="D70" s="20" t="s">
        <v>530</v>
      </c>
      <c r="E70" s="21">
        <v>8092210210</v>
      </c>
      <c r="F70" s="19" t="s">
        <v>531</v>
      </c>
      <c r="G70" s="20" t="s">
        <v>61</v>
      </c>
      <c r="H70" s="21">
        <v>4.9000000000000004</v>
      </c>
      <c r="I70" s="21">
        <v>59</v>
      </c>
      <c r="J70" s="20" t="s">
        <v>61</v>
      </c>
      <c r="K70" s="20" t="s">
        <v>610</v>
      </c>
      <c r="L70" s="21">
        <v>0.98</v>
      </c>
      <c r="M70" s="20" t="s">
        <v>621</v>
      </c>
      <c r="N70" s="20" t="s">
        <v>622</v>
      </c>
      <c r="O70" s="20" t="s">
        <v>622</v>
      </c>
      <c r="P70" s="21">
        <v>0.65</v>
      </c>
    </row>
    <row r="71" spans="1:16" ht="14.4">
      <c r="A71" s="21">
        <v>263</v>
      </c>
      <c r="B71" s="20" t="s">
        <v>13</v>
      </c>
      <c r="C71" s="20" t="s">
        <v>481</v>
      </c>
      <c r="D71" s="20" t="s">
        <v>538</v>
      </c>
      <c r="E71" s="21">
        <v>8252220418</v>
      </c>
      <c r="F71" s="19" t="s">
        <v>539</v>
      </c>
      <c r="G71" s="20" t="s">
        <v>61</v>
      </c>
      <c r="H71" s="21">
        <v>4.7</v>
      </c>
      <c r="I71" s="21">
        <v>92</v>
      </c>
      <c r="J71" s="20" t="s">
        <v>61</v>
      </c>
      <c r="K71" s="20" t="s">
        <v>610</v>
      </c>
      <c r="L71" s="21">
        <v>0.94</v>
      </c>
      <c r="M71" s="20" t="s">
        <v>621</v>
      </c>
      <c r="N71" s="20" t="s">
        <v>622</v>
      </c>
      <c r="O71" s="20" t="s">
        <v>622</v>
      </c>
      <c r="P71" s="21">
        <v>0.7</v>
      </c>
    </row>
    <row r="72" spans="1:16" ht="14.4">
      <c r="A72" s="21">
        <v>291</v>
      </c>
      <c r="B72" s="20" t="s">
        <v>25</v>
      </c>
      <c r="C72" s="20" t="s">
        <v>26</v>
      </c>
      <c r="D72" s="20" t="s">
        <v>594</v>
      </c>
      <c r="E72" s="21">
        <v>12124069527</v>
      </c>
      <c r="F72" s="19" t="s">
        <v>595</v>
      </c>
      <c r="G72" s="20" t="s">
        <v>242</v>
      </c>
      <c r="H72" s="21">
        <v>4.9000000000000004</v>
      </c>
      <c r="I72" s="21">
        <v>436</v>
      </c>
      <c r="J72" s="20" t="s">
        <v>242</v>
      </c>
      <c r="K72" s="20" t="s">
        <v>613</v>
      </c>
      <c r="L72" s="21">
        <v>0.98</v>
      </c>
      <c r="M72" s="20" t="s">
        <v>621</v>
      </c>
      <c r="N72" s="20" t="s">
        <v>622</v>
      </c>
      <c r="O72" s="20" t="s">
        <v>622</v>
      </c>
      <c r="P72" s="21">
        <v>0.99</v>
      </c>
    </row>
    <row r="73" spans="1:16" ht="14.4">
      <c r="A73" s="21">
        <v>293</v>
      </c>
      <c r="B73" s="20" t="s">
        <v>13</v>
      </c>
      <c r="C73" s="20" t="s">
        <v>481</v>
      </c>
      <c r="D73" s="20" t="s">
        <v>597</v>
      </c>
      <c r="E73" s="21">
        <v>8540999641</v>
      </c>
      <c r="F73" s="19" t="s">
        <v>598</v>
      </c>
      <c r="G73" s="20" t="s">
        <v>61</v>
      </c>
      <c r="H73" s="21">
        <v>4.9000000000000004</v>
      </c>
      <c r="I73" s="21">
        <v>374</v>
      </c>
      <c r="J73" s="20" t="s">
        <v>61</v>
      </c>
      <c r="K73" s="20" t="s">
        <v>610</v>
      </c>
      <c r="L73" s="21">
        <v>0.98</v>
      </c>
      <c r="M73" s="20" t="s">
        <v>621</v>
      </c>
      <c r="N73" s="20" t="s">
        <v>622</v>
      </c>
      <c r="O73" s="20" t="s">
        <v>622</v>
      </c>
      <c r="P73" s="21">
        <v>1</v>
      </c>
    </row>
  </sheetData>
  <hyperlinks>
    <hyperlink ref="A1" r:id="rId1" xr:uid="{00000000-0004-0000-0400-000000000000}"/>
    <hyperlink ref="F2" r:id="rId2" xr:uid="{00000000-0004-0000-0400-000001000000}"/>
    <hyperlink ref="F3" r:id="rId3" xr:uid="{00000000-0004-0000-0400-000002000000}"/>
    <hyperlink ref="F4" r:id="rId4" xr:uid="{00000000-0004-0000-0400-000003000000}"/>
    <hyperlink ref="F5" r:id="rId5" xr:uid="{00000000-0004-0000-0400-000004000000}"/>
    <hyperlink ref="F6" r:id="rId6" xr:uid="{00000000-0004-0000-0400-000005000000}"/>
    <hyperlink ref="F7" r:id="rId7" xr:uid="{00000000-0004-0000-0400-000006000000}"/>
    <hyperlink ref="F8" r:id="rId8" xr:uid="{00000000-0004-0000-0400-000007000000}"/>
    <hyperlink ref="F9" r:id="rId9" xr:uid="{00000000-0004-0000-0400-000008000000}"/>
    <hyperlink ref="F10" r:id="rId10" xr:uid="{00000000-0004-0000-0400-000009000000}"/>
    <hyperlink ref="F11" r:id="rId11" xr:uid="{00000000-0004-0000-0400-00000A000000}"/>
    <hyperlink ref="F12" r:id="rId12" xr:uid="{00000000-0004-0000-0400-00000B000000}"/>
    <hyperlink ref="F13" r:id="rId13" xr:uid="{00000000-0004-0000-0400-00000C000000}"/>
    <hyperlink ref="F14" r:id="rId14" xr:uid="{00000000-0004-0000-0400-00000D000000}"/>
    <hyperlink ref="F15" r:id="rId15" xr:uid="{00000000-0004-0000-0400-00000E000000}"/>
    <hyperlink ref="F16" r:id="rId16" xr:uid="{00000000-0004-0000-0400-00000F000000}"/>
    <hyperlink ref="F17" r:id="rId17" xr:uid="{00000000-0004-0000-0400-000010000000}"/>
    <hyperlink ref="F18" r:id="rId18" xr:uid="{00000000-0004-0000-0400-000011000000}"/>
    <hyperlink ref="F19" r:id="rId19" xr:uid="{00000000-0004-0000-0400-000012000000}"/>
    <hyperlink ref="F20" r:id="rId20" xr:uid="{00000000-0004-0000-0400-000013000000}"/>
    <hyperlink ref="F21" r:id="rId21" xr:uid="{00000000-0004-0000-0400-000014000000}"/>
    <hyperlink ref="F22" r:id="rId22" xr:uid="{00000000-0004-0000-0400-000015000000}"/>
    <hyperlink ref="F23" r:id="rId23" xr:uid="{00000000-0004-0000-0400-000016000000}"/>
    <hyperlink ref="F24" r:id="rId24" xr:uid="{00000000-0004-0000-0400-000017000000}"/>
    <hyperlink ref="F25" r:id="rId25" xr:uid="{00000000-0004-0000-0400-000018000000}"/>
    <hyperlink ref="F26" r:id="rId26" xr:uid="{00000000-0004-0000-0400-000019000000}"/>
    <hyperlink ref="F27" r:id="rId27" xr:uid="{00000000-0004-0000-0400-00001A000000}"/>
    <hyperlink ref="F28" r:id="rId28" xr:uid="{00000000-0004-0000-0400-00001B000000}"/>
    <hyperlink ref="F29" r:id="rId29" xr:uid="{00000000-0004-0000-0400-00001C000000}"/>
    <hyperlink ref="F30" r:id="rId30" xr:uid="{00000000-0004-0000-0400-00001D000000}"/>
    <hyperlink ref="F31" r:id="rId31" xr:uid="{00000000-0004-0000-0400-00001E000000}"/>
    <hyperlink ref="F32" r:id="rId32" xr:uid="{00000000-0004-0000-0400-00001F000000}"/>
    <hyperlink ref="F33" r:id="rId33" xr:uid="{00000000-0004-0000-0400-000020000000}"/>
    <hyperlink ref="F34" r:id="rId34" xr:uid="{00000000-0004-0000-0400-000021000000}"/>
    <hyperlink ref="F35" r:id="rId35" xr:uid="{00000000-0004-0000-0400-000022000000}"/>
    <hyperlink ref="F36" r:id="rId36" xr:uid="{00000000-0004-0000-0400-000023000000}"/>
    <hyperlink ref="F37" r:id="rId37" xr:uid="{00000000-0004-0000-0400-000024000000}"/>
    <hyperlink ref="F38" r:id="rId38" xr:uid="{00000000-0004-0000-0400-000025000000}"/>
    <hyperlink ref="F39" r:id="rId39" xr:uid="{00000000-0004-0000-0400-000026000000}"/>
    <hyperlink ref="F40" r:id="rId40" xr:uid="{00000000-0004-0000-0400-000027000000}"/>
    <hyperlink ref="F41" r:id="rId41" xr:uid="{00000000-0004-0000-0400-000028000000}"/>
    <hyperlink ref="F42" r:id="rId42" xr:uid="{00000000-0004-0000-0400-000029000000}"/>
    <hyperlink ref="F43" r:id="rId43" xr:uid="{00000000-0004-0000-0400-00002A000000}"/>
    <hyperlink ref="F44" r:id="rId44" xr:uid="{00000000-0004-0000-0400-00002B000000}"/>
    <hyperlink ref="F45" r:id="rId45" xr:uid="{00000000-0004-0000-0400-00002C000000}"/>
    <hyperlink ref="F46" r:id="rId46" xr:uid="{00000000-0004-0000-0400-00002D000000}"/>
    <hyperlink ref="F47" r:id="rId47" xr:uid="{00000000-0004-0000-0400-00002E000000}"/>
    <hyperlink ref="F48" r:id="rId48" xr:uid="{00000000-0004-0000-0400-00002F000000}"/>
    <hyperlink ref="F49" r:id="rId49" xr:uid="{00000000-0004-0000-0400-000030000000}"/>
    <hyperlink ref="F50" r:id="rId50" xr:uid="{00000000-0004-0000-0400-000031000000}"/>
    <hyperlink ref="F51" r:id="rId51" xr:uid="{00000000-0004-0000-0400-000032000000}"/>
    <hyperlink ref="F52" r:id="rId52" xr:uid="{00000000-0004-0000-0400-000033000000}"/>
    <hyperlink ref="F53" r:id="rId53" xr:uid="{00000000-0004-0000-0400-000034000000}"/>
    <hyperlink ref="F54" r:id="rId54" xr:uid="{00000000-0004-0000-0400-000035000000}"/>
    <hyperlink ref="F55" r:id="rId55" xr:uid="{00000000-0004-0000-0400-000036000000}"/>
    <hyperlink ref="F56" r:id="rId56" xr:uid="{00000000-0004-0000-0400-000037000000}"/>
    <hyperlink ref="F57" r:id="rId57" xr:uid="{00000000-0004-0000-0400-000038000000}"/>
    <hyperlink ref="F58" r:id="rId58" xr:uid="{00000000-0004-0000-0400-000039000000}"/>
    <hyperlink ref="F59" r:id="rId59" xr:uid="{00000000-0004-0000-0400-00003A000000}"/>
    <hyperlink ref="F60" r:id="rId60" xr:uid="{00000000-0004-0000-0400-00003B000000}"/>
    <hyperlink ref="F61" r:id="rId61" xr:uid="{00000000-0004-0000-0400-00003C000000}"/>
    <hyperlink ref="F62" r:id="rId62" xr:uid="{00000000-0004-0000-0400-00003D000000}"/>
    <hyperlink ref="F63" r:id="rId63" xr:uid="{00000000-0004-0000-0400-00003E000000}"/>
    <hyperlink ref="F64" r:id="rId64" xr:uid="{00000000-0004-0000-0400-00003F000000}"/>
    <hyperlink ref="F65" r:id="rId65" xr:uid="{00000000-0004-0000-0400-000040000000}"/>
    <hyperlink ref="F66" r:id="rId66" xr:uid="{00000000-0004-0000-0400-000041000000}"/>
    <hyperlink ref="F67" r:id="rId67" xr:uid="{00000000-0004-0000-0400-000042000000}"/>
    <hyperlink ref="F68" r:id="rId68" xr:uid="{00000000-0004-0000-0400-000043000000}"/>
    <hyperlink ref="F69" r:id="rId69" xr:uid="{00000000-0004-0000-0400-000044000000}"/>
    <hyperlink ref="F70" r:id="rId70" xr:uid="{00000000-0004-0000-0400-000045000000}"/>
    <hyperlink ref="F71" r:id="rId71" xr:uid="{00000000-0004-0000-0400-000046000000}"/>
    <hyperlink ref="F72" r:id="rId72" xr:uid="{00000000-0004-0000-0400-000047000000}"/>
    <hyperlink ref="F73" r:id="rId73" xr:uid="{00000000-0004-0000-0400-000048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53"/>
  <sheetViews>
    <sheetView workbookViewId="0"/>
  </sheetViews>
  <sheetFormatPr defaultColWidth="12.6640625" defaultRowHeight="15.75" customHeight="1"/>
  <sheetData>
    <row r="1" spans="1:15" ht="15.75" customHeight="1">
      <c r="A1" s="19" t="s">
        <v>0</v>
      </c>
      <c r="B1" s="20" t="s">
        <v>1</v>
      </c>
      <c r="C1" s="20" t="s">
        <v>2</v>
      </c>
      <c r="D1" s="20" t="s">
        <v>3</v>
      </c>
      <c r="E1" s="20" t="s">
        <v>8</v>
      </c>
      <c r="F1" s="20" t="s">
        <v>9</v>
      </c>
      <c r="G1" s="20" t="s">
        <v>10</v>
      </c>
      <c r="H1" s="20" t="s">
        <v>11</v>
      </c>
      <c r="I1" s="20" t="s">
        <v>12</v>
      </c>
      <c r="J1" s="20" t="s">
        <v>606</v>
      </c>
      <c r="K1" s="20" t="s">
        <v>607</v>
      </c>
      <c r="L1" s="20" t="s">
        <v>618</v>
      </c>
      <c r="M1" s="20" t="s">
        <v>619</v>
      </c>
      <c r="N1" s="20" t="s">
        <v>620</v>
      </c>
      <c r="O1" s="20" t="s">
        <v>608</v>
      </c>
    </row>
    <row r="2" spans="1:15" ht="15.75" customHeight="1">
      <c r="A2" s="21">
        <v>2</v>
      </c>
      <c r="B2" s="20" t="s">
        <v>13</v>
      </c>
      <c r="C2" s="20" t="s">
        <v>14</v>
      </c>
      <c r="D2" s="20" t="s">
        <v>19</v>
      </c>
      <c r="E2" s="21">
        <v>8881200100</v>
      </c>
      <c r="F2" s="19" t="s">
        <v>20</v>
      </c>
      <c r="G2" s="20" t="s">
        <v>609</v>
      </c>
      <c r="H2" s="21">
        <v>4.8</v>
      </c>
      <c r="I2" s="21">
        <v>55</v>
      </c>
      <c r="J2" s="20" t="s">
        <v>609</v>
      </c>
      <c r="K2" s="20" t="s">
        <v>610</v>
      </c>
      <c r="L2" s="20" t="s">
        <v>621</v>
      </c>
      <c r="M2" s="20" t="s">
        <v>623</v>
      </c>
      <c r="N2" s="20" t="s">
        <v>623</v>
      </c>
      <c r="O2" s="21">
        <v>0.8</v>
      </c>
    </row>
    <row r="3" spans="1:15" ht="15.75" customHeight="1">
      <c r="A3" s="21">
        <v>5</v>
      </c>
      <c r="B3" s="20" t="s">
        <v>25</v>
      </c>
      <c r="C3" s="20" t="s">
        <v>26</v>
      </c>
      <c r="D3" s="20" t="s">
        <v>27</v>
      </c>
      <c r="E3" s="21">
        <v>12125822075</v>
      </c>
      <c r="F3" s="19" t="s">
        <v>28</v>
      </c>
      <c r="G3" s="20" t="s">
        <v>29</v>
      </c>
      <c r="H3" s="21">
        <v>4.3</v>
      </c>
      <c r="I3" s="21">
        <v>55</v>
      </c>
      <c r="J3" s="20" t="s">
        <v>29</v>
      </c>
      <c r="K3" s="20" t="s">
        <v>613</v>
      </c>
      <c r="L3" s="20" t="s">
        <v>621</v>
      </c>
      <c r="M3" s="20" t="s">
        <v>623</v>
      </c>
      <c r="N3" s="20" t="s">
        <v>623</v>
      </c>
      <c r="O3" s="21">
        <v>0.99</v>
      </c>
    </row>
    <row r="4" spans="1:15" ht="15.75" customHeight="1">
      <c r="A4" s="21">
        <v>6</v>
      </c>
      <c r="B4" s="20" t="s">
        <v>25</v>
      </c>
      <c r="C4" s="20" t="s">
        <v>26</v>
      </c>
      <c r="D4" s="20" t="s">
        <v>30</v>
      </c>
      <c r="E4" s="21">
        <v>16464764047</v>
      </c>
      <c r="F4" s="19" t="s">
        <v>31</v>
      </c>
      <c r="G4" s="20" t="s">
        <v>29</v>
      </c>
      <c r="H4" s="21">
        <v>4.2</v>
      </c>
      <c r="I4" s="21">
        <v>57</v>
      </c>
      <c r="J4" s="20" t="s">
        <v>29</v>
      </c>
      <c r="K4" s="20" t="s">
        <v>613</v>
      </c>
      <c r="L4" s="20" t="s">
        <v>621</v>
      </c>
      <c r="M4" s="20" t="s">
        <v>623</v>
      </c>
      <c r="N4" s="20" t="s">
        <v>623</v>
      </c>
      <c r="O4" s="21">
        <v>0.96</v>
      </c>
    </row>
    <row r="5" spans="1:15" ht="15.75" customHeight="1">
      <c r="A5" s="21">
        <v>7</v>
      </c>
      <c r="B5" s="20" t="s">
        <v>25</v>
      </c>
      <c r="C5" s="20" t="s">
        <v>26</v>
      </c>
      <c r="D5" s="20" t="s">
        <v>32</v>
      </c>
      <c r="E5" s="21">
        <v>16466923022</v>
      </c>
      <c r="F5" s="19" t="s">
        <v>33</v>
      </c>
      <c r="G5" s="20" t="s">
        <v>29</v>
      </c>
      <c r="H5" s="21">
        <v>5</v>
      </c>
      <c r="I5" s="21">
        <v>3</v>
      </c>
      <c r="J5" s="20" t="s">
        <v>29</v>
      </c>
      <c r="K5" s="20" t="s">
        <v>613</v>
      </c>
      <c r="L5" s="20" t="s">
        <v>621</v>
      </c>
      <c r="M5" s="20" t="s">
        <v>623</v>
      </c>
      <c r="N5" s="20" t="s">
        <v>623</v>
      </c>
      <c r="O5" s="21">
        <v>0.98</v>
      </c>
    </row>
    <row r="6" spans="1:15" ht="15.75" customHeight="1">
      <c r="A6" s="21">
        <v>8</v>
      </c>
      <c r="B6" s="20" t="s">
        <v>25</v>
      </c>
      <c r="C6" s="20" t="s">
        <v>26</v>
      </c>
      <c r="D6" s="20" t="s">
        <v>34</v>
      </c>
      <c r="E6" s="21">
        <v>15186753636</v>
      </c>
      <c r="F6" s="19" t="s">
        <v>35</v>
      </c>
      <c r="G6" s="20" t="s">
        <v>29</v>
      </c>
      <c r="H6" s="21">
        <v>4.5</v>
      </c>
      <c r="I6" s="21">
        <v>12</v>
      </c>
      <c r="J6" s="20" t="s">
        <v>29</v>
      </c>
      <c r="K6" s="20" t="s">
        <v>613</v>
      </c>
      <c r="L6" s="20" t="s">
        <v>621</v>
      </c>
      <c r="M6" s="20" t="s">
        <v>623</v>
      </c>
      <c r="N6" s="20" t="s">
        <v>623</v>
      </c>
      <c r="O6" s="21">
        <v>0.99</v>
      </c>
    </row>
    <row r="7" spans="1:15" ht="15.75" customHeight="1">
      <c r="A7" s="21">
        <v>9</v>
      </c>
      <c r="B7" s="20" t="s">
        <v>25</v>
      </c>
      <c r="C7" s="20" t="s">
        <v>26</v>
      </c>
      <c r="D7" s="20" t="s">
        <v>36</v>
      </c>
      <c r="E7" s="21">
        <v>12125417747</v>
      </c>
      <c r="F7" s="19" t="s">
        <v>37</v>
      </c>
      <c r="G7" s="20" t="s">
        <v>29</v>
      </c>
      <c r="H7" s="21">
        <v>4.5</v>
      </c>
      <c r="I7" s="21">
        <v>15</v>
      </c>
      <c r="J7" s="20" t="s">
        <v>29</v>
      </c>
      <c r="K7" s="20" t="s">
        <v>613</v>
      </c>
      <c r="L7" s="20" t="s">
        <v>621</v>
      </c>
      <c r="M7" s="20" t="s">
        <v>623</v>
      </c>
      <c r="N7" s="20" t="s">
        <v>623</v>
      </c>
      <c r="O7" s="21">
        <v>1</v>
      </c>
    </row>
    <row r="8" spans="1:15" ht="15.75" customHeight="1">
      <c r="A8" s="21">
        <v>11</v>
      </c>
      <c r="B8" s="20" t="s">
        <v>25</v>
      </c>
      <c r="C8" s="20" t="s">
        <v>26</v>
      </c>
      <c r="D8" s="20" t="s">
        <v>40</v>
      </c>
      <c r="E8" s="21">
        <v>12126088866</v>
      </c>
      <c r="F8" s="19" t="s">
        <v>41</v>
      </c>
      <c r="G8" s="20" t="s">
        <v>29</v>
      </c>
      <c r="H8" s="21">
        <v>4.5999999999999996</v>
      </c>
      <c r="I8" s="21">
        <v>17</v>
      </c>
      <c r="J8" s="20" t="s">
        <v>29</v>
      </c>
      <c r="K8" s="20" t="s">
        <v>613</v>
      </c>
      <c r="L8" s="20" t="s">
        <v>621</v>
      </c>
      <c r="M8" s="20" t="s">
        <v>623</v>
      </c>
      <c r="N8" s="20" t="s">
        <v>623</v>
      </c>
      <c r="O8" s="21">
        <v>0.99</v>
      </c>
    </row>
    <row r="9" spans="1:15" ht="15.75" customHeight="1">
      <c r="A9" s="21">
        <v>13</v>
      </c>
      <c r="B9" s="20" t="s">
        <v>25</v>
      </c>
      <c r="C9" s="20" t="s">
        <v>26</v>
      </c>
      <c r="D9" s="20" t="s">
        <v>44</v>
      </c>
      <c r="E9" s="21">
        <v>12124470131</v>
      </c>
      <c r="F9" s="19" t="s">
        <v>45</v>
      </c>
      <c r="G9" s="20" t="s">
        <v>29</v>
      </c>
      <c r="H9" s="21">
        <v>5</v>
      </c>
      <c r="I9" s="21">
        <v>6</v>
      </c>
      <c r="J9" s="20" t="s">
        <v>29</v>
      </c>
      <c r="K9" s="20" t="s">
        <v>613</v>
      </c>
      <c r="L9" s="20" t="s">
        <v>621</v>
      </c>
      <c r="M9" s="20" t="s">
        <v>623</v>
      </c>
      <c r="N9" s="20" t="s">
        <v>623</v>
      </c>
      <c r="O9" s="21">
        <v>1</v>
      </c>
    </row>
    <row r="10" spans="1:15" ht="15.75" customHeight="1">
      <c r="A10" s="21">
        <v>15</v>
      </c>
      <c r="B10" s="20" t="s">
        <v>25</v>
      </c>
      <c r="C10" s="20" t="s">
        <v>26</v>
      </c>
      <c r="D10" s="20" t="s">
        <v>48</v>
      </c>
      <c r="E10" s="21">
        <v>12129415973</v>
      </c>
      <c r="F10" s="19" t="s">
        <v>49</v>
      </c>
      <c r="G10" s="20" t="s">
        <v>29</v>
      </c>
      <c r="H10" s="21">
        <v>4.2</v>
      </c>
      <c r="I10" s="21">
        <v>63</v>
      </c>
      <c r="J10" s="20" t="s">
        <v>29</v>
      </c>
      <c r="K10" s="20" t="s">
        <v>613</v>
      </c>
      <c r="L10" s="20" t="s">
        <v>621</v>
      </c>
      <c r="M10" s="20" t="s">
        <v>623</v>
      </c>
      <c r="N10" s="20" t="s">
        <v>623</v>
      </c>
      <c r="O10" s="21">
        <v>0.97</v>
      </c>
    </row>
    <row r="11" spans="1:15" ht="15.75" customHeight="1">
      <c r="A11" s="21">
        <v>17</v>
      </c>
      <c r="B11" s="20" t="s">
        <v>25</v>
      </c>
      <c r="C11" s="20" t="s">
        <v>26</v>
      </c>
      <c r="D11" s="20" t="s">
        <v>52</v>
      </c>
      <c r="E11" s="21">
        <v>17184888336</v>
      </c>
      <c r="F11" s="19" t="s">
        <v>53</v>
      </c>
      <c r="G11" s="20" t="s">
        <v>29</v>
      </c>
      <c r="H11" s="21">
        <v>3.7</v>
      </c>
      <c r="I11" s="21">
        <v>432</v>
      </c>
      <c r="J11" s="20" t="s">
        <v>29</v>
      </c>
      <c r="K11" s="20" t="s">
        <v>613</v>
      </c>
      <c r="L11" s="20" t="s">
        <v>621</v>
      </c>
      <c r="M11" s="20" t="s">
        <v>623</v>
      </c>
      <c r="N11" s="20" t="s">
        <v>623</v>
      </c>
      <c r="O11" s="21">
        <v>0.94</v>
      </c>
    </row>
    <row r="12" spans="1:15" ht="15.75" customHeight="1">
      <c r="A12" s="21">
        <v>20</v>
      </c>
      <c r="B12" s="20" t="s">
        <v>13</v>
      </c>
      <c r="C12" s="20" t="s">
        <v>14</v>
      </c>
      <c r="D12" s="20" t="s">
        <v>59</v>
      </c>
      <c r="E12" s="21">
        <v>9795874121</v>
      </c>
      <c r="F12" s="19" t="s">
        <v>60</v>
      </c>
      <c r="G12" s="20" t="s">
        <v>61</v>
      </c>
      <c r="H12" s="21">
        <v>4.4000000000000004</v>
      </c>
      <c r="I12" s="21">
        <v>26</v>
      </c>
      <c r="J12" s="20" t="s">
        <v>61</v>
      </c>
      <c r="K12" s="20" t="s">
        <v>610</v>
      </c>
      <c r="L12" s="20" t="s">
        <v>621</v>
      </c>
      <c r="M12" s="20" t="s">
        <v>623</v>
      </c>
      <c r="N12" s="20" t="s">
        <v>623</v>
      </c>
      <c r="O12" s="21">
        <v>0.98</v>
      </c>
    </row>
    <row r="13" spans="1:15" ht="15.75" customHeight="1">
      <c r="A13" s="21">
        <v>22</v>
      </c>
      <c r="B13" s="20" t="s">
        <v>13</v>
      </c>
      <c r="C13" s="20" t="s">
        <v>14</v>
      </c>
      <c r="D13" s="20" t="s">
        <v>64</v>
      </c>
      <c r="E13" s="21">
        <v>9451314111</v>
      </c>
      <c r="F13" s="19" t="s">
        <v>65</v>
      </c>
      <c r="G13" s="20" t="s">
        <v>61</v>
      </c>
      <c r="H13" s="21">
        <v>4.2</v>
      </c>
      <c r="I13" s="21">
        <v>31</v>
      </c>
      <c r="J13" s="20" t="s">
        <v>61</v>
      </c>
      <c r="K13" s="20" t="s">
        <v>610</v>
      </c>
      <c r="L13" s="20" t="s">
        <v>621</v>
      </c>
      <c r="M13" s="20" t="s">
        <v>623</v>
      </c>
      <c r="N13" s="20" t="s">
        <v>623</v>
      </c>
      <c r="O13" s="21">
        <v>0.98</v>
      </c>
    </row>
    <row r="14" spans="1:15" ht="15.75" customHeight="1">
      <c r="A14" s="21">
        <v>23</v>
      </c>
      <c r="B14" s="20" t="s">
        <v>13</v>
      </c>
      <c r="C14" s="20" t="s">
        <v>14</v>
      </c>
      <c r="D14" s="20" t="s">
        <v>66</v>
      </c>
      <c r="E14" s="21">
        <v>9415425996</v>
      </c>
      <c r="F14" s="19" t="s">
        <v>67</v>
      </c>
      <c r="G14" s="20" t="s">
        <v>61</v>
      </c>
      <c r="H14" s="21">
        <v>4.4000000000000004</v>
      </c>
      <c r="I14" s="21">
        <v>171</v>
      </c>
      <c r="J14" s="20" t="s">
        <v>61</v>
      </c>
      <c r="K14" s="20" t="s">
        <v>610</v>
      </c>
      <c r="L14" s="20" t="s">
        <v>621</v>
      </c>
      <c r="M14" s="20" t="s">
        <v>623</v>
      </c>
      <c r="N14" s="20" t="s">
        <v>623</v>
      </c>
      <c r="O14" s="21">
        <v>0.72</v>
      </c>
    </row>
    <row r="15" spans="1:15" ht="15.75" customHeight="1">
      <c r="A15" s="21">
        <v>25</v>
      </c>
      <c r="B15" s="20" t="s">
        <v>13</v>
      </c>
      <c r="C15" s="20" t="s">
        <v>14</v>
      </c>
      <c r="D15" s="20" t="s">
        <v>70</v>
      </c>
      <c r="E15" s="21">
        <v>9839108070</v>
      </c>
      <c r="F15" s="19" t="s">
        <v>71</v>
      </c>
      <c r="G15" s="20" t="s">
        <v>61</v>
      </c>
      <c r="H15" s="21">
        <v>4.5</v>
      </c>
      <c r="I15" s="21">
        <v>71</v>
      </c>
      <c r="J15" s="20" t="s">
        <v>61</v>
      </c>
      <c r="K15" s="20" t="s">
        <v>610</v>
      </c>
      <c r="L15" s="20" t="s">
        <v>621</v>
      </c>
      <c r="M15" s="20" t="s">
        <v>623</v>
      </c>
      <c r="N15" s="20" t="s">
        <v>623</v>
      </c>
      <c r="O15" s="21">
        <v>1</v>
      </c>
    </row>
    <row r="16" spans="1:15" ht="15.75" customHeight="1">
      <c r="A16" s="21">
        <v>27</v>
      </c>
      <c r="B16" s="20" t="s">
        <v>13</v>
      </c>
      <c r="C16" s="20" t="s">
        <v>14</v>
      </c>
      <c r="D16" s="20" t="s">
        <v>74</v>
      </c>
      <c r="E16" s="21">
        <v>7408214444</v>
      </c>
      <c r="F16" s="19" t="s">
        <v>75</v>
      </c>
      <c r="G16" s="20" t="s">
        <v>61</v>
      </c>
      <c r="H16" s="21">
        <v>4.0999999999999996</v>
      </c>
      <c r="I16" s="21">
        <v>54</v>
      </c>
      <c r="J16" s="20" t="s">
        <v>61</v>
      </c>
      <c r="K16" s="20" t="s">
        <v>610</v>
      </c>
      <c r="L16" s="20" t="s">
        <v>621</v>
      </c>
      <c r="M16" s="20" t="s">
        <v>623</v>
      </c>
      <c r="N16" s="20" t="s">
        <v>623</v>
      </c>
      <c r="O16" s="21">
        <v>0.94</v>
      </c>
    </row>
    <row r="17" spans="1:15" ht="15.75" customHeight="1">
      <c r="A17" s="21">
        <v>28</v>
      </c>
      <c r="B17" s="20" t="s">
        <v>13</v>
      </c>
      <c r="C17" s="20" t="s">
        <v>14</v>
      </c>
      <c r="D17" s="20" t="s">
        <v>76</v>
      </c>
      <c r="E17" s="21">
        <v>8419075786</v>
      </c>
      <c r="F17" s="19" t="s">
        <v>77</v>
      </c>
      <c r="G17" s="20" t="s">
        <v>61</v>
      </c>
      <c r="H17" s="21">
        <v>4.5</v>
      </c>
      <c r="I17" s="21">
        <v>24</v>
      </c>
      <c r="J17" s="20" t="s">
        <v>61</v>
      </c>
      <c r="K17" s="20" t="s">
        <v>610</v>
      </c>
      <c r="L17" s="20" t="s">
        <v>621</v>
      </c>
      <c r="M17" s="20" t="s">
        <v>623</v>
      </c>
      <c r="N17" s="20" t="s">
        <v>623</v>
      </c>
      <c r="O17" s="21">
        <v>1</v>
      </c>
    </row>
    <row r="18" spans="1:15" ht="15.75" customHeight="1">
      <c r="A18" s="21">
        <v>29</v>
      </c>
      <c r="B18" s="20" t="s">
        <v>13</v>
      </c>
      <c r="C18" s="20" t="s">
        <v>14</v>
      </c>
      <c r="D18" s="20" t="s">
        <v>78</v>
      </c>
      <c r="E18" s="21">
        <v>5224068374</v>
      </c>
      <c r="F18" s="19" t="s">
        <v>79</v>
      </c>
      <c r="G18" s="20" t="s">
        <v>61</v>
      </c>
      <c r="H18" s="21">
        <v>4.5999999999999996</v>
      </c>
      <c r="I18" s="21">
        <v>33</v>
      </c>
      <c r="J18" s="20" t="s">
        <v>61</v>
      </c>
      <c r="K18" s="20" t="s">
        <v>610</v>
      </c>
      <c r="L18" s="20" t="s">
        <v>621</v>
      </c>
      <c r="M18" s="20" t="s">
        <v>623</v>
      </c>
      <c r="N18" s="20" t="s">
        <v>623</v>
      </c>
      <c r="O18" s="21">
        <v>1</v>
      </c>
    </row>
    <row r="19" spans="1:15" ht="15.75" customHeight="1">
      <c r="A19" s="21">
        <v>30</v>
      </c>
      <c r="B19" s="20" t="s">
        <v>13</v>
      </c>
      <c r="C19" s="20" t="s">
        <v>14</v>
      </c>
      <c r="D19" s="20" t="s">
        <v>80</v>
      </c>
      <c r="E19" s="21">
        <v>9984232499</v>
      </c>
      <c r="F19" s="19" t="s">
        <v>81</v>
      </c>
      <c r="G19" s="20" t="s">
        <v>61</v>
      </c>
      <c r="H19" s="21">
        <v>5</v>
      </c>
      <c r="I19" s="21">
        <v>4</v>
      </c>
      <c r="J19" s="20" t="s">
        <v>61</v>
      </c>
      <c r="K19" s="20" t="s">
        <v>610</v>
      </c>
      <c r="L19" s="20" t="s">
        <v>621</v>
      </c>
      <c r="M19" s="20" t="s">
        <v>623</v>
      </c>
      <c r="N19" s="20" t="s">
        <v>623</v>
      </c>
      <c r="O19" s="21">
        <v>1</v>
      </c>
    </row>
    <row r="20" spans="1:15" ht="15.75" customHeight="1">
      <c r="A20" s="21">
        <v>31</v>
      </c>
      <c r="B20" s="20" t="s">
        <v>13</v>
      </c>
      <c r="C20" s="20" t="s">
        <v>14</v>
      </c>
      <c r="D20" s="20" t="s">
        <v>82</v>
      </c>
      <c r="E20" s="21">
        <v>9415086495</v>
      </c>
      <c r="F20" s="19" t="s">
        <v>83</v>
      </c>
      <c r="G20" s="20" t="s">
        <v>61</v>
      </c>
      <c r="H20" s="21">
        <v>4.8</v>
      </c>
      <c r="I20" s="21">
        <v>21</v>
      </c>
      <c r="J20" s="20" t="s">
        <v>61</v>
      </c>
      <c r="K20" s="20" t="s">
        <v>610</v>
      </c>
      <c r="L20" s="20" t="s">
        <v>621</v>
      </c>
      <c r="M20" s="20" t="s">
        <v>623</v>
      </c>
      <c r="N20" s="20" t="s">
        <v>623</v>
      </c>
      <c r="O20" s="21">
        <v>1</v>
      </c>
    </row>
    <row r="21" spans="1:15" ht="15.75" customHeight="1">
      <c r="A21" s="21">
        <v>32</v>
      </c>
      <c r="B21" s="20" t="s">
        <v>13</v>
      </c>
      <c r="C21" s="20" t="s">
        <v>14</v>
      </c>
      <c r="D21" s="20" t="s">
        <v>84</v>
      </c>
      <c r="E21" s="21">
        <v>6386395701</v>
      </c>
      <c r="F21" s="19" t="s">
        <v>85</v>
      </c>
      <c r="G21" s="20" t="s">
        <v>61</v>
      </c>
      <c r="H21" s="21">
        <v>5</v>
      </c>
      <c r="I21" s="21">
        <v>23</v>
      </c>
      <c r="J21" s="20" t="s">
        <v>61</v>
      </c>
      <c r="K21" s="20" t="s">
        <v>610</v>
      </c>
      <c r="L21" s="20" t="s">
        <v>621</v>
      </c>
      <c r="M21" s="20" t="s">
        <v>623</v>
      </c>
      <c r="N21" s="20" t="s">
        <v>623</v>
      </c>
      <c r="O21" s="21">
        <v>0.99</v>
      </c>
    </row>
    <row r="22" spans="1:15" ht="15.75" customHeight="1">
      <c r="A22" s="21">
        <v>33</v>
      </c>
      <c r="B22" s="20" t="s">
        <v>13</v>
      </c>
      <c r="C22" s="20" t="s">
        <v>14</v>
      </c>
      <c r="D22" s="20" t="s">
        <v>86</v>
      </c>
      <c r="E22" s="21">
        <v>9151778888</v>
      </c>
      <c r="F22" s="19" t="s">
        <v>87</v>
      </c>
      <c r="G22" s="20" t="s">
        <v>61</v>
      </c>
      <c r="H22" s="21">
        <v>3.9</v>
      </c>
      <c r="I22" s="21">
        <v>83</v>
      </c>
      <c r="J22" s="20" t="s">
        <v>61</v>
      </c>
      <c r="K22" s="20" t="s">
        <v>610</v>
      </c>
      <c r="L22" s="20" t="s">
        <v>621</v>
      </c>
      <c r="M22" s="20" t="s">
        <v>623</v>
      </c>
      <c r="N22" s="20" t="s">
        <v>623</v>
      </c>
      <c r="O22" s="21">
        <v>0.83</v>
      </c>
    </row>
    <row r="23" spans="1:15" ht="15.75" customHeight="1">
      <c r="A23" s="21">
        <v>34</v>
      </c>
      <c r="B23" s="20" t="s">
        <v>13</v>
      </c>
      <c r="C23" s="20" t="s">
        <v>14</v>
      </c>
      <c r="D23" s="20" t="s">
        <v>88</v>
      </c>
      <c r="E23" s="21">
        <v>9918858222</v>
      </c>
      <c r="F23" s="19" t="s">
        <v>89</v>
      </c>
      <c r="G23" s="20" t="s">
        <v>61</v>
      </c>
      <c r="H23" s="21">
        <v>3.8</v>
      </c>
      <c r="I23" s="21">
        <v>116</v>
      </c>
      <c r="J23" s="20" t="s">
        <v>61</v>
      </c>
      <c r="K23" s="20" t="s">
        <v>610</v>
      </c>
      <c r="L23" s="20" t="s">
        <v>621</v>
      </c>
      <c r="M23" s="20" t="s">
        <v>623</v>
      </c>
      <c r="N23" s="20" t="s">
        <v>623</v>
      </c>
      <c r="O23" s="21">
        <v>0.84</v>
      </c>
    </row>
    <row r="24" spans="1:15" ht="15.75" customHeight="1">
      <c r="A24" s="21">
        <v>35</v>
      </c>
      <c r="B24" s="20" t="s">
        <v>13</v>
      </c>
      <c r="C24" s="20" t="s">
        <v>14</v>
      </c>
      <c r="D24" s="20" t="s">
        <v>90</v>
      </c>
      <c r="E24" s="21">
        <v>5224043245</v>
      </c>
      <c r="F24" s="19" t="s">
        <v>91</v>
      </c>
      <c r="G24" s="20" t="s">
        <v>61</v>
      </c>
      <c r="H24" s="21">
        <v>4.4000000000000004</v>
      </c>
      <c r="I24" s="21">
        <v>9</v>
      </c>
      <c r="J24" s="20" t="s">
        <v>61</v>
      </c>
      <c r="K24" s="20" t="s">
        <v>610</v>
      </c>
      <c r="L24" s="20" t="s">
        <v>621</v>
      </c>
      <c r="M24" s="20" t="s">
        <v>624</v>
      </c>
      <c r="N24" s="20" t="s">
        <v>623</v>
      </c>
      <c r="O24" s="21">
        <v>0.51</v>
      </c>
    </row>
    <row r="25" spans="1:15" ht="15.75" customHeight="1">
      <c r="A25" s="21">
        <v>36</v>
      </c>
      <c r="B25" s="20" t="s">
        <v>13</v>
      </c>
      <c r="C25" s="20" t="s">
        <v>14</v>
      </c>
      <c r="D25" s="20" t="s">
        <v>92</v>
      </c>
      <c r="E25" s="21">
        <v>9161633499</v>
      </c>
      <c r="F25" s="19" t="s">
        <v>93</v>
      </c>
      <c r="G25" s="20" t="s">
        <v>61</v>
      </c>
      <c r="H25" s="21">
        <v>4.5</v>
      </c>
      <c r="I25" s="21">
        <v>11</v>
      </c>
      <c r="J25" s="20" t="s">
        <v>61</v>
      </c>
      <c r="K25" s="20" t="s">
        <v>610</v>
      </c>
      <c r="L25" s="20" t="s">
        <v>621</v>
      </c>
      <c r="M25" s="20" t="s">
        <v>623</v>
      </c>
      <c r="N25" s="20" t="s">
        <v>623</v>
      </c>
      <c r="O25" s="21">
        <v>0.99</v>
      </c>
    </row>
    <row r="26" spans="1:15" ht="15.75" customHeight="1">
      <c r="A26" s="21">
        <v>38</v>
      </c>
      <c r="B26" s="20" t="s">
        <v>13</v>
      </c>
      <c r="C26" s="20" t="s">
        <v>14</v>
      </c>
      <c r="D26" s="20" t="s">
        <v>96</v>
      </c>
      <c r="E26" s="21">
        <v>5222638266</v>
      </c>
      <c r="F26" s="19" t="s">
        <v>97</v>
      </c>
      <c r="G26" s="20" t="s">
        <v>61</v>
      </c>
      <c r="H26" s="21">
        <v>4.5</v>
      </c>
      <c r="I26" s="21">
        <v>15</v>
      </c>
      <c r="J26" s="20" t="s">
        <v>61</v>
      </c>
      <c r="K26" s="20" t="s">
        <v>610</v>
      </c>
      <c r="L26" s="20" t="s">
        <v>621</v>
      </c>
      <c r="M26" s="20" t="s">
        <v>623</v>
      </c>
      <c r="N26" s="20" t="s">
        <v>623</v>
      </c>
      <c r="O26" s="21">
        <v>1</v>
      </c>
    </row>
    <row r="27" spans="1:15" ht="14.4">
      <c r="A27" s="21">
        <v>40</v>
      </c>
      <c r="B27" s="20" t="s">
        <v>25</v>
      </c>
      <c r="C27" s="20" t="s">
        <v>26</v>
      </c>
      <c r="D27" s="20" t="s">
        <v>100</v>
      </c>
      <c r="E27" s="21">
        <v>17187140822</v>
      </c>
      <c r="F27" s="19" t="s">
        <v>101</v>
      </c>
      <c r="G27" s="20" t="s">
        <v>61</v>
      </c>
      <c r="H27" s="21">
        <v>5</v>
      </c>
      <c r="I27" s="21">
        <v>6</v>
      </c>
      <c r="J27" s="20" t="s">
        <v>61</v>
      </c>
      <c r="K27" s="20" t="s">
        <v>613</v>
      </c>
      <c r="L27" s="20" t="s">
        <v>621</v>
      </c>
      <c r="M27" s="20" t="s">
        <v>623</v>
      </c>
      <c r="N27" s="20" t="s">
        <v>623</v>
      </c>
      <c r="O27" s="21">
        <v>1</v>
      </c>
    </row>
    <row r="28" spans="1:15" ht="14.4">
      <c r="A28" s="21">
        <v>43</v>
      </c>
      <c r="B28" s="20" t="s">
        <v>25</v>
      </c>
      <c r="C28" s="20" t="s">
        <v>26</v>
      </c>
      <c r="D28" s="20" t="s">
        <v>106</v>
      </c>
      <c r="E28" s="21">
        <v>12127058717</v>
      </c>
      <c r="F28" s="19" t="s">
        <v>107</v>
      </c>
      <c r="G28" s="20" t="s">
        <v>61</v>
      </c>
      <c r="H28" s="21">
        <v>4.0999999999999996</v>
      </c>
      <c r="I28" s="21">
        <v>78</v>
      </c>
      <c r="J28" s="20" t="s">
        <v>61</v>
      </c>
      <c r="K28" s="20" t="s">
        <v>613</v>
      </c>
      <c r="L28" s="20" t="s">
        <v>621</v>
      </c>
      <c r="M28" s="20" t="s">
        <v>623</v>
      </c>
      <c r="N28" s="20" t="s">
        <v>623</v>
      </c>
      <c r="O28" s="21">
        <v>0.99</v>
      </c>
    </row>
    <row r="29" spans="1:15" ht="14.4">
      <c r="A29" s="21">
        <v>45</v>
      </c>
      <c r="B29" s="20" t="s">
        <v>25</v>
      </c>
      <c r="C29" s="20" t="s">
        <v>26</v>
      </c>
      <c r="D29" s="20" t="s">
        <v>110</v>
      </c>
      <c r="E29" s="21">
        <v>12124731587</v>
      </c>
      <c r="F29" s="19" t="s">
        <v>111</v>
      </c>
      <c r="G29" s="20" t="s">
        <v>61</v>
      </c>
      <c r="H29" s="21">
        <v>4.7</v>
      </c>
      <c r="I29" s="21">
        <v>26</v>
      </c>
      <c r="J29" s="20" t="s">
        <v>61</v>
      </c>
      <c r="K29" s="20" t="s">
        <v>613</v>
      </c>
      <c r="L29" s="20" t="s">
        <v>621</v>
      </c>
      <c r="M29" s="20" t="s">
        <v>623</v>
      </c>
      <c r="N29" s="20" t="s">
        <v>623</v>
      </c>
      <c r="O29" s="21">
        <v>0.76</v>
      </c>
    </row>
    <row r="30" spans="1:15" ht="14.4">
      <c r="A30" s="21">
        <v>53</v>
      </c>
      <c r="B30" s="20" t="s">
        <v>25</v>
      </c>
      <c r="C30" s="20" t="s">
        <v>26</v>
      </c>
      <c r="D30" s="20" t="s">
        <v>127</v>
      </c>
      <c r="E30" s="21">
        <v>12127220066</v>
      </c>
      <c r="F30" s="19" t="s">
        <v>128</v>
      </c>
      <c r="G30" s="20" t="s">
        <v>114</v>
      </c>
      <c r="H30" s="21">
        <v>4.7</v>
      </c>
      <c r="I30" s="21">
        <v>10</v>
      </c>
      <c r="J30" s="20" t="s">
        <v>114</v>
      </c>
      <c r="K30" s="20" t="s">
        <v>613</v>
      </c>
      <c r="L30" s="20" t="s">
        <v>621</v>
      </c>
      <c r="M30" s="20" t="s">
        <v>623</v>
      </c>
      <c r="N30" s="20" t="s">
        <v>623</v>
      </c>
      <c r="O30" s="21">
        <v>0.72</v>
      </c>
    </row>
    <row r="31" spans="1:15" ht="14.4">
      <c r="A31" s="21">
        <v>57</v>
      </c>
      <c r="B31" s="20" t="s">
        <v>13</v>
      </c>
      <c r="C31" s="20" t="s">
        <v>14</v>
      </c>
      <c r="D31" s="20" t="s">
        <v>135</v>
      </c>
      <c r="E31" s="21">
        <v>9936778598</v>
      </c>
      <c r="F31" s="19" t="s">
        <v>136</v>
      </c>
      <c r="G31" s="20" t="s">
        <v>61</v>
      </c>
      <c r="H31" s="21">
        <v>4.5999999999999996</v>
      </c>
      <c r="I31" s="21">
        <v>29</v>
      </c>
      <c r="J31" s="20" t="s">
        <v>61</v>
      </c>
      <c r="K31" s="20" t="s">
        <v>610</v>
      </c>
      <c r="L31" s="20" t="s">
        <v>621</v>
      </c>
      <c r="M31" s="20" t="s">
        <v>623</v>
      </c>
      <c r="N31" s="20" t="s">
        <v>623</v>
      </c>
      <c r="O31" s="21">
        <v>1</v>
      </c>
    </row>
    <row r="32" spans="1:15" ht="14.4">
      <c r="A32" s="21">
        <v>60</v>
      </c>
      <c r="B32" s="20" t="s">
        <v>13</v>
      </c>
      <c r="C32" s="20" t="s">
        <v>14</v>
      </c>
      <c r="D32" s="20" t="s">
        <v>141</v>
      </c>
      <c r="E32" s="21">
        <v>8299296398</v>
      </c>
      <c r="F32" s="19" t="s">
        <v>142</v>
      </c>
      <c r="G32" s="20" t="s">
        <v>61</v>
      </c>
      <c r="H32" s="21">
        <v>4.2</v>
      </c>
      <c r="I32" s="21">
        <v>32</v>
      </c>
      <c r="J32" s="20" t="s">
        <v>61</v>
      </c>
      <c r="K32" s="20" t="s">
        <v>610</v>
      </c>
      <c r="L32" s="20" t="s">
        <v>621</v>
      </c>
      <c r="M32" s="20" t="s">
        <v>623</v>
      </c>
      <c r="N32" s="20" t="s">
        <v>623</v>
      </c>
      <c r="O32" s="21">
        <v>0.98</v>
      </c>
    </row>
    <row r="33" spans="1:15" ht="14.4">
      <c r="A33" s="21">
        <v>62</v>
      </c>
      <c r="B33" s="20" t="s">
        <v>13</v>
      </c>
      <c r="C33" s="20" t="s">
        <v>14</v>
      </c>
      <c r="D33" s="20" t="s">
        <v>145</v>
      </c>
      <c r="E33" s="21">
        <v>9984417630</v>
      </c>
      <c r="F33" s="19" t="s">
        <v>146</v>
      </c>
      <c r="G33" s="20" t="s">
        <v>61</v>
      </c>
      <c r="H33" s="21">
        <v>5</v>
      </c>
      <c r="I33" s="21">
        <v>2</v>
      </c>
      <c r="J33" s="20" t="s">
        <v>61</v>
      </c>
      <c r="K33" s="20" t="s">
        <v>610</v>
      </c>
      <c r="L33" s="20" t="s">
        <v>621</v>
      </c>
      <c r="M33" s="20" t="s">
        <v>623</v>
      </c>
      <c r="N33" s="20" t="s">
        <v>623</v>
      </c>
      <c r="O33" s="21">
        <v>1</v>
      </c>
    </row>
    <row r="34" spans="1:15" ht="14.4">
      <c r="A34" s="21">
        <v>64</v>
      </c>
      <c r="B34" s="20" t="s">
        <v>13</v>
      </c>
      <c r="C34" s="20" t="s">
        <v>14</v>
      </c>
      <c r="D34" s="20" t="s">
        <v>149</v>
      </c>
      <c r="E34" s="21">
        <v>9198595255</v>
      </c>
      <c r="F34" s="19" t="s">
        <v>150</v>
      </c>
      <c r="G34" s="20" t="s">
        <v>61</v>
      </c>
      <c r="H34" s="21">
        <v>4.2</v>
      </c>
      <c r="I34" s="21">
        <v>179</v>
      </c>
      <c r="J34" s="20" t="s">
        <v>61</v>
      </c>
      <c r="K34" s="20" t="s">
        <v>610</v>
      </c>
      <c r="L34" s="20" t="s">
        <v>621</v>
      </c>
      <c r="M34" s="20" t="s">
        <v>623</v>
      </c>
      <c r="N34" s="20" t="s">
        <v>623</v>
      </c>
      <c r="O34" s="21">
        <v>0.94</v>
      </c>
    </row>
    <row r="35" spans="1:15" ht="14.4">
      <c r="A35" s="21">
        <v>65</v>
      </c>
      <c r="B35" s="20" t="s">
        <v>13</v>
      </c>
      <c r="C35" s="20" t="s">
        <v>14</v>
      </c>
      <c r="D35" s="20" t="s">
        <v>151</v>
      </c>
      <c r="E35" s="21">
        <v>9838179666</v>
      </c>
      <c r="F35" s="19" t="s">
        <v>152</v>
      </c>
      <c r="G35" s="20" t="s">
        <v>61</v>
      </c>
      <c r="H35" s="21">
        <v>5</v>
      </c>
      <c r="I35" s="21">
        <v>6</v>
      </c>
      <c r="J35" s="20" t="s">
        <v>61</v>
      </c>
      <c r="K35" s="20" t="s">
        <v>610</v>
      </c>
      <c r="L35" s="20" t="s">
        <v>621</v>
      </c>
      <c r="M35" s="20" t="s">
        <v>623</v>
      </c>
      <c r="N35" s="20" t="s">
        <v>623</v>
      </c>
      <c r="O35" s="21">
        <v>1</v>
      </c>
    </row>
    <row r="36" spans="1:15" ht="14.4">
      <c r="A36" s="21">
        <v>67</v>
      </c>
      <c r="B36" s="20" t="s">
        <v>13</v>
      </c>
      <c r="C36" s="20" t="s">
        <v>14</v>
      </c>
      <c r="D36" s="20" t="s">
        <v>155</v>
      </c>
      <c r="E36" s="21">
        <v>5224236566</v>
      </c>
      <c r="F36" s="19" t="s">
        <v>156</v>
      </c>
      <c r="G36" s="20" t="s">
        <v>61</v>
      </c>
      <c r="H36" s="21">
        <v>4.5999999999999996</v>
      </c>
      <c r="I36" s="21">
        <v>11</v>
      </c>
      <c r="J36" s="20" t="s">
        <v>61</v>
      </c>
      <c r="K36" s="20" t="s">
        <v>610</v>
      </c>
      <c r="L36" s="20" t="s">
        <v>621</v>
      </c>
      <c r="M36" s="20" t="s">
        <v>623</v>
      </c>
      <c r="N36" s="20" t="s">
        <v>623</v>
      </c>
      <c r="O36" s="21">
        <v>0.99</v>
      </c>
    </row>
    <row r="37" spans="1:15" ht="14.4">
      <c r="A37" s="21">
        <v>74</v>
      </c>
      <c r="B37" s="20" t="s">
        <v>25</v>
      </c>
      <c r="C37" s="20" t="s">
        <v>26</v>
      </c>
      <c r="D37" s="20" t="s">
        <v>169</v>
      </c>
      <c r="E37" s="21">
        <v>13323319247</v>
      </c>
      <c r="F37" s="19" t="s">
        <v>170</v>
      </c>
      <c r="G37" s="20" t="s">
        <v>114</v>
      </c>
      <c r="H37" s="21">
        <v>5</v>
      </c>
      <c r="I37" s="21">
        <v>13</v>
      </c>
      <c r="J37" s="20" t="s">
        <v>114</v>
      </c>
      <c r="K37" s="20" t="s">
        <v>613</v>
      </c>
      <c r="L37" s="20" t="s">
        <v>621</v>
      </c>
      <c r="M37" s="20" t="s">
        <v>623</v>
      </c>
      <c r="N37" s="20" t="s">
        <v>623</v>
      </c>
      <c r="O37" s="21">
        <v>1</v>
      </c>
    </row>
    <row r="38" spans="1:15" ht="14.4">
      <c r="A38" s="21">
        <v>76</v>
      </c>
      <c r="B38" s="20" t="s">
        <v>13</v>
      </c>
      <c r="C38" s="20" t="s">
        <v>14</v>
      </c>
      <c r="D38" s="20" t="s">
        <v>173</v>
      </c>
      <c r="E38" s="21">
        <v>9415104223</v>
      </c>
      <c r="F38" s="19" t="s">
        <v>174</v>
      </c>
      <c r="G38" s="20" t="s">
        <v>61</v>
      </c>
      <c r="H38" s="21">
        <v>4.4000000000000004</v>
      </c>
      <c r="I38" s="21">
        <v>12</v>
      </c>
      <c r="J38" s="20" t="s">
        <v>61</v>
      </c>
      <c r="K38" s="20" t="s">
        <v>610</v>
      </c>
      <c r="L38" s="20" t="s">
        <v>621</v>
      </c>
      <c r="M38" s="20" t="s">
        <v>623</v>
      </c>
      <c r="N38" s="20" t="s">
        <v>623</v>
      </c>
      <c r="O38" s="21">
        <v>0.8</v>
      </c>
    </row>
    <row r="39" spans="1:15" ht="14.4">
      <c r="A39" s="21">
        <v>79</v>
      </c>
      <c r="B39" s="20" t="s">
        <v>13</v>
      </c>
      <c r="C39" s="20" t="s">
        <v>14</v>
      </c>
      <c r="D39" s="20" t="s">
        <v>179</v>
      </c>
      <c r="E39" s="21">
        <v>9451197467</v>
      </c>
      <c r="F39" s="19" t="s">
        <v>180</v>
      </c>
      <c r="G39" s="20" t="s">
        <v>56</v>
      </c>
      <c r="H39" s="21">
        <v>3.8</v>
      </c>
      <c r="I39" s="21">
        <v>311</v>
      </c>
      <c r="J39" s="20" t="s">
        <v>56</v>
      </c>
      <c r="K39" s="20" t="s">
        <v>610</v>
      </c>
      <c r="L39" s="20" t="s">
        <v>621</v>
      </c>
      <c r="M39" s="20" t="s">
        <v>623</v>
      </c>
      <c r="N39" s="20" t="s">
        <v>623</v>
      </c>
      <c r="O39" s="21">
        <v>0.99</v>
      </c>
    </row>
    <row r="40" spans="1:15" ht="14.4">
      <c r="A40" s="21">
        <v>80</v>
      </c>
      <c r="B40" s="20" t="s">
        <v>13</v>
      </c>
      <c r="C40" s="20" t="s">
        <v>14</v>
      </c>
      <c r="D40" s="20" t="s">
        <v>181</v>
      </c>
      <c r="E40" s="21">
        <v>9044666666</v>
      </c>
      <c r="F40" s="19" t="s">
        <v>182</v>
      </c>
      <c r="G40" s="20" t="s">
        <v>56</v>
      </c>
      <c r="H40" s="21">
        <v>4.0999999999999996</v>
      </c>
      <c r="I40" s="21">
        <v>500</v>
      </c>
      <c r="J40" s="20" t="s">
        <v>56</v>
      </c>
      <c r="K40" s="20" t="s">
        <v>610</v>
      </c>
      <c r="L40" s="20" t="s">
        <v>621</v>
      </c>
      <c r="M40" s="20" t="s">
        <v>622</v>
      </c>
      <c r="N40" s="20" t="s">
        <v>623</v>
      </c>
      <c r="O40" s="21">
        <v>0.65</v>
      </c>
    </row>
    <row r="41" spans="1:15" ht="14.4">
      <c r="A41" s="21">
        <v>81</v>
      </c>
      <c r="B41" s="20" t="s">
        <v>13</v>
      </c>
      <c r="C41" s="20" t="s">
        <v>14</v>
      </c>
      <c r="D41" s="20" t="s">
        <v>183</v>
      </c>
      <c r="E41" s="21">
        <v>6394064977</v>
      </c>
      <c r="F41" s="19" t="s">
        <v>184</v>
      </c>
      <c r="G41" s="20" t="s">
        <v>56</v>
      </c>
      <c r="H41" s="21">
        <v>4.2</v>
      </c>
      <c r="I41" s="21">
        <v>109</v>
      </c>
      <c r="J41" s="20" t="s">
        <v>56</v>
      </c>
      <c r="K41" s="20" t="s">
        <v>610</v>
      </c>
      <c r="L41" s="20" t="s">
        <v>621</v>
      </c>
      <c r="M41" s="20" t="s">
        <v>623</v>
      </c>
      <c r="N41" s="20" t="s">
        <v>623</v>
      </c>
      <c r="O41" s="21">
        <v>0.98</v>
      </c>
    </row>
    <row r="42" spans="1:15" ht="14.4">
      <c r="A42" s="21">
        <v>82</v>
      </c>
      <c r="B42" s="20" t="s">
        <v>13</v>
      </c>
      <c r="C42" s="20" t="s">
        <v>14</v>
      </c>
      <c r="D42" s="20" t="s">
        <v>185</v>
      </c>
      <c r="E42" s="21">
        <v>8318681494</v>
      </c>
      <c r="F42" s="19" t="s">
        <v>186</v>
      </c>
      <c r="G42" s="20" t="s">
        <v>56</v>
      </c>
      <c r="H42" s="21">
        <v>4.5999999999999996</v>
      </c>
      <c r="I42" s="21">
        <v>10</v>
      </c>
      <c r="J42" s="20" t="s">
        <v>56</v>
      </c>
      <c r="K42" s="20" t="s">
        <v>610</v>
      </c>
      <c r="L42" s="20" t="s">
        <v>621</v>
      </c>
      <c r="M42" s="20" t="s">
        <v>623</v>
      </c>
      <c r="N42" s="20" t="s">
        <v>623</v>
      </c>
      <c r="O42" s="21">
        <v>0.98</v>
      </c>
    </row>
    <row r="43" spans="1:15" ht="14.4">
      <c r="A43" s="21">
        <v>83</v>
      </c>
      <c r="B43" s="20" t="s">
        <v>13</v>
      </c>
      <c r="C43" s="20" t="s">
        <v>14</v>
      </c>
      <c r="D43" s="20" t="s">
        <v>187</v>
      </c>
      <c r="E43" s="21">
        <v>9807255215</v>
      </c>
      <c r="F43" s="19" t="s">
        <v>188</v>
      </c>
      <c r="G43" s="20" t="s">
        <v>56</v>
      </c>
      <c r="H43" s="21">
        <v>4.0999999999999996</v>
      </c>
      <c r="I43" s="21">
        <v>490</v>
      </c>
      <c r="J43" s="20" t="s">
        <v>56</v>
      </c>
      <c r="K43" s="20" t="s">
        <v>610</v>
      </c>
      <c r="L43" s="20" t="s">
        <v>621</v>
      </c>
      <c r="M43" s="20" t="s">
        <v>623</v>
      </c>
      <c r="N43" s="20" t="s">
        <v>623</v>
      </c>
      <c r="O43" s="21">
        <v>0.75</v>
      </c>
    </row>
    <row r="44" spans="1:15" ht="14.4">
      <c r="A44" s="21">
        <v>85</v>
      </c>
      <c r="B44" s="20" t="s">
        <v>13</v>
      </c>
      <c r="C44" s="20" t="s">
        <v>14</v>
      </c>
      <c r="D44" s="20" t="s">
        <v>191</v>
      </c>
      <c r="E44" s="21">
        <v>9918391660</v>
      </c>
      <c r="F44" s="19" t="s">
        <v>192</v>
      </c>
      <c r="G44" s="20" t="s">
        <v>56</v>
      </c>
      <c r="H44" s="21">
        <v>4.2</v>
      </c>
      <c r="I44" s="21">
        <v>93</v>
      </c>
      <c r="J44" s="20" t="s">
        <v>56</v>
      </c>
      <c r="K44" s="20" t="s">
        <v>610</v>
      </c>
      <c r="L44" s="20" t="s">
        <v>621</v>
      </c>
      <c r="M44" s="20" t="s">
        <v>623</v>
      </c>
      <c r="N44" s="20" t="s">
        <v>623</v>
      </c>
      <c r="O44" s="21">
        <v>0.95</v>
      </c>
    </row>
    <row r="45" spans="1:15" ht="14.4">
      <c r="A45" s="21">
        <v>86</v>
      </c>
      <c r="B45" s="20" t="s">
        <v>13</v>
      </c>
      <c r="C45" s="20" t="s">
        <v>14</v>
      </c>
      <c r="D45" s="20" t="s">
        <v>193</v>
      </c>
      <c r="E45" s="21">
        <v>5222304184</v>
      </c>
      <c r="F45" s="19" t="s">
        <v>194</v>
      </c>
      <c r="G45" s="20" t="s">
        <v>56</v>
      </c>
      <c r="H45" s="21">
        <v>3.9</v>
      </c>
      <c r="I45" s="21">
        <v>401</v>
      </c>
      <c r="J45" s="20" t="s">
        <v>56</v>
      </c>
      <c r="K45" s="20" t="s">
        <v>610</v>
      </c>
      <c r="L45" s="20" t="s">
        <v>621</v>
      </c>
      <c r="M45" s="20" t="s">
        <v>623</v>
      </c>
      <c r="N45" s="20" t="s">
        <v>623</v>
      </c>
      <c r="O45" s="21">
        <v>0.91</v>
      </c>
    </row>
    <row r="46" spans="1:15" ht="14.4">
      <c r="A46" s="21">
        <v>87</v>
      </c>
      <c r="B46" s="20" t="s">
        <v>13</v>
      </c>
      <c r="C46" s="20" t="s">
        <v>14</v>
      </c>
      <c r="D46" s="20" t="s">
        <v>195</v>
      </c>
      <c r="E46" s="21">
        <v>9889339393</v>
      </c>
      <c r="F46" s="19" t="s">
        <v>196</v>
      </c>
      <c r="G46" s="20" t="s">
        <v>56</v>
      </c>
      <c r="H46" s="21">
        <v>4.8</v>
      </c>
      <c r="I46" s="21">
        <v>5</v>
      </c>
      <c r="J46" s="20" t="s">
        <v>56</v>
      </c>
      <c r="K46" s="20" t="s">
        <v>610</v>
      </c>
      <c r="L46" s="20" t="s">
        <v>621</v>
      </c>
      <c r="M46" s="20" t="s">
        <v>623</v>
      </c>
      <c r="N46" s="20" t="s">
        <v>623</v>
      </c>
      <c r="O46" s="21">
        <v>1</v>
      </c>
    </row>
    <row r="47" spans="1:15" ht="14.4">
      <c r="A47" s="21">
        <v>88</v>
      </c>
      <c r="B47" s="20" t="s">
        <v>13</v>
      </c>
      <c r="C47" s="20" t="s">
        <v>14</v>
      </c>
      <c r="D47" s="20" t="s">
        <v>197</v>
      </c>
      <c r="E47" s="21">
        <v>9919379466</v>
      </c>
      <c r="F47" s="19" t="s">
        <v>198</v>
      </c>
      <c r="G47" s="20" t="s">
        <v>56</v>
      </c>
      <c r="H47" s="21">
        <v>3.8</v>
      </c>
      <c r="I47" s="21">
        <v>212</v>
      </c>
      <c r="J47" s="20" t="s">
        <v>56</v>
      </c>
      <c r="K47" s="20" t="s">
        <v>610</v>
      </c>
      <c r="L47" s="20" t="s">
        <v>621</v>
      </c>
      <c r="M47" s="20" t="s">
        <v>623</v>
      </c>
      <c r="N47" s="20" t="s">
        <v>623</v>
      </c>
      <c r="O47" s="21">
        <v>0.98</v>
      </c>
    </row>
    <row r="48" spans="1:15" ht="14.4">
      <c r="A48" s="21">
        <v>89</v>
      </c>
      <c r="B48" s="20" t="s">
        <v>13</v>
      </c>
      <c r="C48" s="20" t="s">
        <v>14</v>
      </c>
      <c r="D48" s="20" t="s">
        <v>199</v>
      </c>
      <c r="E48" s="21">
        <v>9839703487</v>
      </c>
      <c r="F48" s="19" t="s">
        <v>200</v>
      </c>
      <c r="G48" s="20" t="s">
        <v>56</v>
      </c>
      <c r="H48" s="21">
        <v>4.5999999999999996</v>
      </c>
      <c r="I48" s="21">
        <v>15</v>
      </c>
      <c r="J48" s="20" t="s">
        <v>56</v>
      </c>
      <c r="K48" s="20" t="s">
        <v>610</v>
      </c>
      <c r="L48" s="20" t="s">
        <v>621</v>
      </c>
      <c r="M48" s="20" t="s">
        <v>623</v>
      </c>
      <c r="N48" s="20" t="s">
        <v>623</v>
      </c>
      <c r="O48" s="21">
        <v>1</v>
      </c>
    </row>
    <row r="49" spans="1:15" ht="14.4">
      <c r="A49" s="21">
        <v>90</v>
      </c>
      <c r="B49" s="20" t="s">
        <v>25</v>
      </c>
      <c r="C49" s="20" t="s">
        <v>26</v>
      </c>
      <c r="D49" s="20" t="s">
        <v>201</v>
      </c>
      <c r="E49" s="21">
        <v>19184427243</v>
      </c>
      <c r="F49" s="19" t="s">
        <v>202</v>
      </c>
      <c r="G49" s="20" t="s">
        <v>114</v>
      </c>
      <c r="H49" s="21">
        <v>5</v>
      </c>
      <c r="I49" s="21">
        <v>10</v>
      </c>
      <c r="J49" s="20" t="s">
        <v>114</v>
      </c>
      <c r="K49" s="20" t="s">
        <v>613</v>
      </c>
      <c r="L49" s="20" t="s">
        <v>621</v>
      </c>
      <c r="M49" s="20" t="s">
        <v>623</v>
      </c>
      <c r="N49" s="20" t="s">
        <v>623</v>
      </c>
      <c r="O49" s="21">
        <v>1</v>
      </c>
    </row>
    <row r="50" spans="1:15" ht="14.4">
      <c r="A50" s="21">
        <v>95</v>
      </c>
      <c r="B50" s="20" t="s">
        <v>13</v>
      </c>
      <c r="C50" s="20" t="s">
        <v>14</v>
      </c>
      <c r="D50" s="20" t="s">
        <v>211</v>
      </c>
      <c r="E50" s="21">
        <v>8808790704</v>
      </c>
      <c r="F50" s="19" t="s">
        <v>212</v>
      </c>
      <c r="G50" s="20" t="s">
        <v>213</v>
      </c>
      <c r="H50" s="21">
        <v>4.5999999999999996</v>
      </c>
      <c r="I50" s="21">
        <v>7</v>
      </c>
      <c r="J50" s="20" t="s">
        <v>213</v>
      </c>
      <c r="K50" s="20" t="s">
        <v>610</v>
      </c>
      <c r="L50" s="20" t="s">
        <v>621</v>
      </c>
      <c r="M50" s="20" t="s">
        <v>623</v>
      </c>
      <c r="N50" s="20" t="s">
        <v>623</v>
      </c>
      <c r="O50" s="21">
        <v>0.81</v>
      </c>
    </row>
    <row r="51" spans="1:15" ht="14.4">
      <c r="A51" s="21">
        <v>96</v>
      </c>
      <c r="B51" s="20" t="s">
        <v>13</v>
      </c>
      <c r="C51" s="20" t="s">
        <v>14</v>
      </c>
      <c r="D51" s="20" t="s">
        <v>214</v>
      </c>
      <c r="E51" s="21">
        <v>9415479060</v>
      </c>
      <c r="F51" s="19" t="s">
        <v>215</v>
      </c>
      <c r="G51" s="20" t="s">
        <v>213</v>
      </c>
      <c r="H51" s="21">
        <v>4</v>
      </c>
      <c r="I51" s="21">
        <v>62</v>
      </c>
      <c r="J51" s="20" t="s">
        <v>213</v>
      </c>
      <c r="K51" s="20" t="s">
        <v>610</v>
      </c>
      <c r="L51" s="20" t="s">
        <v>621</v>
      </c>
      <c r="M51" s="20" t="s">
        <v>623</v>
      </c>
      <c r="N51" s="20" t="s">
        <v>623</v>
      </c>
      <c r="O51" s="21">
        <v>1</v>
      </c>
    </row>
    <row r="52" spans="1:15" ht="14.4">
      <c r="A52" s="21">
        <v>99</v>
      </c>
      <c r="B52" s="20" t="s">
        <v>13</v>
      </c>
      <c r="C52" s="20" t="s">
        <v>14</v>
      </c>
      <c r="D52" s="20" t="s">
        <v>220</v>
      </c>
      <c r="E52" s="21">
        <v>9648847747</v>
      </c>
      <c r="F52" s="19" t="s">
        <v>221</v>
      </c>
      <c r="G52" s="20" t="s">
        <v>213</v>
      </c>
      <c r="H52" s="21">
        <v>4.3</v>
      </c>
      <c r="I52" s="21">
        <v>15</v>
      </c>
      <c r="J52" s="20" t="s">
        <v>213</v>
      </c>
      <c r="K52" s="20" t="s">
        <v>610</v>
      </c>
      <c r="L52" s="20" t="s">
        <v>621</v>
      </c>
      <c r="M52" s="20" t="s">
        <v>623</v>
      </c>
      <c r="N52" s="20" t="s">
        <v>623</v>
      </c>
      <c r="O52" s="21">
        <v>0.96</v>
      </c>
    </row>
    <row r="53" spans="1:15" ht="14.4">
      <c r="A53" s="21">
        <v>104</v>
      </c>
      <c r="B53" s="20" t="s">
        <v>13</v>
      </c>
      <c r="C53" s="20" t="s">
        <v>14</v>
      </c>
      <c r="D53" s="20" t="s">
        <v>230</v>
      </c>
      <c r="E53" s="21">
        <v>9170026504</v>
      </c>
      <c r="F53" s="19" t="s">
        <v>231</v>
      </c>
      <c r="G53" s="20" t="s">
        <v>213</v>
      </c>
      <c r="H53" s="21">
        <v>5</v>
      </c>
      <c r="I53" s="21">
        <v>37</v>
      </c>
      <c r="J53" s="20" t="s">
        <v>213</v>
      </c>
      <c r="K53" s="20" t="s">
        <v>610</v>
      </c>
      <c r="L53" s="20" t="s">
        <v>621</v>
      </c>
      <c r="M53" s="20" t="s">
        <v>622</v>
      </c>
      <c r="N53" s="20" t="s">
        <v>623</v>
      </c>
      <c r="O53" s="21">
        <v>0.65</v>
      </c>
    </row>
    <row r="54" spans="1:15" ht="14.4">
      <c r="A54" s="21">
        <v>106</v>
      </c>
      <c r="B54" s="20" t="s">
        <v>13</v>
      </c>
      <c r="C54" s="20" t="s">
        <v>14</v>
      </c>
      <c r="D54" s="20" t="s">
        <v>234</v>
      </c>
      <c r="E54" s="21">
        <v>8174943200</v>
      </c>
      <c r="F54" s="19" t="s">
        <v>235</v>
      </c>
      <c r="G54" s="20" t="s">
        <v>213</v>
      </c>
      <c r="H54" s="21">
        <v>4.5</v>
      </c>
      <c r="I54" s="21">
        <v>104</v>
      </c>
      <c r="J54" s="20" t="s">
        <v>213</v>
      </c>
      <c r="K54" s="20" t="s">
        <v>610</v>
      </c>
      <c r="L54" s="20" t="s">
        <v>621</v>
      </c>
      <c r="M54" s="20" t="s">
        <v>623</v>
      </c>
      <c r="N54" s="20" t="s">
        <v>623</v>
      </c>
      <c r="O54" s="21">
        <v>0.78</v>
      </c>
    </row>
    <row r="55" spans="1:15" ht="14.4">
      <c r="A55" s="21">
        <v>107</v>
      </c>
      <c r="B55" s="20" t="s">
        <v>13</v>
      </c>
      <c r="C55" s="20" t="s">
        <v>14</v>
      </c>
      <c r="D55" s="20" t="s">
        <v>236</v>
      </c>
      <c r="E55" s="21">
        <v>8318846600</v>
      </c>
      <c r="F55" s="19" t="s">
        <v>237</v>
      </c>
      <c r="G55" s="20" t="s">
        <v>213</v>
      </c>
      <c r="H55" s="21">
        <v>4.7</v>
      </c>
      <c r="I55" s="21">
        <v>85</v>
      </c>
      <c r="J55" s="20" t="s">
        <v>213</v>
      </c>
      <c r="K55" s="20" t="s">
        <v>610</v>
      </c>
      <c r="L55" s="20" t="s">
        <v>621</v>
      </c>
      <c r="M55" s="20" t="s">
        <v>623</v>
      </c>
      <c r="N55" s="20" t="s">
        <v>623</v>
      </c>
      <c r="O55" s="21">
        <v>0.91</v>
      </c>
    </row>
    <row r="56" spans="1:15" ht="14.4">
      <c r="A56" s="21">
        <v>108</v>
      </c>
      <c r="B56" s="20" t="s">
        <v>13</v>
      </c>
      <c r="C56" s="20" t="s">
        <v>14</v>
      </c>
      <c r="D56" s="20" t="s">
        <v>238</v>
      </c>
      <c r="E56" s="21">
        <v>7007786520</v>
      </c>
      <c r="F56" s="19" t="s">
        <v>239</v>
      </c>
      <c r="G56" s="20" t="s">
        <v>213</v>
      </c>
      <c r="H56" s="21">
        <v>4.9000000000000004</v>
      </c>
      <c r="I56" s="21">
        <v>34</v>
      </c>
      <c r="J56" s="20" t="s">
        <v>213</v>
      </c>
      <c r="K56" s="20" t="s">
        <v>610</v>
      </c>
      <c r="L56" s="20" t="s">
        <v>621</v>
      </c>
      <c r="M56" s="20" t="s">
        <v>623</v>
      </c>
      <c r="N56" s="20" t="s">
        <v>623</v>
      </c>
      <c r="O56" s="21">
        <v>1</v>
      </c>
    </row>
    <row r="57" spans="1:15" ht="14.4">
      <c r="A57" s="21">
        <v>110</v>
      </c>
      <c r="B57" s="20" t="s">
        <v>25</v>
      </c>
      <c r="C57" s="20" t="s">
        <v>26</v>
      </c>
      <c r="D57" s="20" t="s">
        <v>243</v>
      </c>
      <c r="E57" s="21">
        <v>13476831124</v>
      </c>
      <c r="F57" s="19" t="s">
        <v>244</v>
      </c>
      <c r="G57" s="20" t="s">
        <v>242</v>
      </c>
      <c r="H57" s="21">
        <v>4.5</v>
      </c>
      <c r="I57" s="21">
        <v>23</v>
      </c>
      <c r="J57" s="20" t="s">
        <v>242</v>
      </c>
      <c r="K57" s="20" t="s">
        <v>613</v>
      </c>
      <c r="L57" s="20" t="s">
        <v>621</v>
      </c>
      <c r="M57" s="20" t="s">
        <v>623</v>
      </c>
      <c r="N57" s="20" t="s">
        <v>623</v>
      </c>
      <c r="O57" s="21">
        <v>1</v>
      </c>
    </row>
    <row r="58" spans="1:15" ht="14.4">
      <c r="A58" s="21">
        <v>113</v>
      </c>
      <c r="B58" s="20" t="s">
        <v>25</v>
      </c>
      <c r="C58" s="20" t="s">
        <v>26</v>
      </c>
      <c r="D58" s="20" t="s">
        <v>249</v>
      </c>
      <c r="E58" s="21">
        <v>16465245166</v>
      </c>
      <c r="F58" s="19" t="s">
        <v>250</v>
      </c>
      <c r="G58" s="20" t="s">
        <v>242</v>
      </c>
      <c r="H58" s="21">
        <v>4.0999999999999996</v>
      </c>
      <c r="I58" s="21">
        <v>30</v>
      </c>
      <c r="J58" s="20" t="s">
        <v>242</v>
      </c>
      <c r="K58" s="20" t="s">
        <v>613</v>
      </c>
      <c r="L58" s="20" t="s">
        <v>621</v>
      </c>
      <c r="M58" s="20" t="s">
        <v>623</v>
      </c>
      <c r="N58" s="20" t="s">
        <v>623</v>
      </c>
      <c r="O58" s="21">
        <v>0.85</v>
      </c>
    </row>
    <row r="59" spans="1:15" ht="14.4">
      <c r="A59" s="21">
        <v>115</v>
      </c>
      <c r="B59" s="20" t="s">
        <v>13</v>
      </c>
      <c r="C59" s="20" t="s">
        <v>14</v>
      </c>
      <c r="D59" s="20" t="s">
        <v>253</v>
      </c>
      <c r="E59" s="21">
        <v>9918330786</v>
      </c>
      <c r="F59" s="19" t="s">
        <v>254</v>
      </c>
      <c r="G59" s="20" t="s">
        <v>56</v>
      </c>
      <c r="H59" s="21">
        <v>4.2</v>
      </c>
      <c r="I59" s="21">
        <v>31</v>
      </c>
      <c r="J59" s="20" t="s">
        <v>56</v>
      </c>
      <c r="K59" s="20" t="s">
        <v>610</v>
      </c>
      <c r="L59" s="20" t="s">
        <v>621</v>
      </c>
      <c r="M59" s="20" t="s">
        <v>623</v>
      </c>
      <c r="N59" s="20" t="s">
        <v>623</v>
      </c>
      <c r="O59" s="21">
        <v>0.98</v>
      </c>
    </row>
    <row r="60" spans="1:15" ht="14.4">
      <c r="A60" s="21">
        <v>116</v>
      </c>
      <c r="B60" s="20" t="s">
        <v>13</v>
      </c>
      <c r="C60" s="20" t="s">
        <v>14</v>
      </c>
      <c r="D60" s="20" t="s">
        <v>255</v>
      </c>
      <c r="E60" s="21">
        <v>8881999204</v>
      </c>
      <c r="F60" s="19" t="s">
        <v>256</v>
      </c>
      <c r="G60" s="20" t="s">
        <v>56</v>
      </c>
      <c r="H60" s="21">
        <v>4.4000000000000004</v>
      </c>
      <c r="I60" s="21">
        <v>28</v>
      </c>
      <c r="J60" s="20" t="s">
        <v>56</v>
      </c>
      <c r="K60" s="20" t="s">
        <v>610</v>
      </c>
      <c r="L60" s="20" t="s">
        <v>621</v>
      </c>
      <c r="M60" s="20" t="s">
        <v>623</v>
      </c>
      <c r="N60" s="20" t="s">
        <v>623</v>
      </c>
      <c r="O60" s="21">
        <v>0.98</v>
      </c>
    </row>
    <row r="61" spans="1:15" ht="14.4">
      <c r="A61" s="21">
        <v>117</v>
      </c>
      <c r="B61" s="20" t="s">
        <v>13</v>
      </c>
      <c r="C61" s="20" t="s">
        <v>14</v>
      </c>
      <c r="D61" s="20" t="s">
        <v>257</v>
      </c>
      <c r="E61" s="21">
        <v>8960367600</v>
      </c>
      <c r="F61" s="19" t="s">
        <v>258</v>
      </c>
      <c r="G61" s="20" t="s">
        <v>56</v>
      </c>
      <c r="H61" s="21">
        <v>3.9</v>
      </c>
      <c r="I61" s="21">
        <v>170</v>
      </c>
      <c r="J61" s="20" t="s">
        <v>56</v>
      </c>
      <c r="K61" s="20" t="s">
        <v>610</v>
      </c>
      <c r="L61" s="20" t="s">
        <v>621</v>
      </c>
      <c r="M61" s="20" t="s">
        <v>623</v>
      </c>
      <c r="N61" s="20" t="s">
        <v>623</v>
      </c>
      <c r="O61" s="21">
        <v>0.96</v>
      </c>
    </row>
    <row r="62" spans="1:15" ht="14.4">
      <c r="A62" s="21">
        <v>118</v>
      </c>
      <c r="B62" s="20" t="s">
        <v>13</v>
      </c>
      <c r="C62" s="20" t="s">
        <v>14</v>
      </c>
      <c r="D62" s="20" t="s">
        <v>259</v>
      </c>
      <c r="E62" s="21">
        <v>9005680925</v>
      </c>
      <c r="F62" s="19" t="s">
        <v>260</v>
      </c>
      <c r="G62" s="20" t="s">
        <v>56</v>
      </c>
      <c r="H62" s="21">
        <v>4.0999999999999996</v>
      </c>
      <c r="I62" s="21">
        <v>58</v>
      </c>
      <c r="J62" s="20" t="s">
        <v>56</v>
      </c>
      <c r="K62" s="20" t="s">
        <v>610</v>
      </c>
      <c r="L62" s="20" t="s">
        <v>621</v>
      </c>
      <c r="M62" s="20" t="s">
        <v>623</v>
      </c>
      <c r="N62" s="20" t="s">
        <v>623</v>
      </c>
      <c r="O62" s="21">
        <v>0.99</v>
      </c>
    </row>
    <row r="63" spans="1:15" ht="14.4">
      <c r="A63" s="21">
        <v>119</v>
      </c>
      <c r="B63" s="20" t="s">
        <v>13</v>
      </c>
      <c r="C63" s="20" t="s">
        <v>14</v>
      </c>
      <c r="D63" s="20" t="s">
        <v>261</v>
      </c>
      <c r="E63" s="21">
        <v>7524823140</v>
      </c>
      <c r="F63" s="19" t="s">
        <v>262</v>
      </c>
      <c r="G63" s="20" t="s">
        <v>56</v>
      </c>
      <c r="H63" s="21">
        <v>5</v>
      </c>
      <c r="I63" s="21">
        <v>1</v>
      </c>
      <c r="J63" s="20" t="s">
        <v>56</v>
      </c>
      <c r="K63" s="20" t="s">
        <v>610</v>
      </c>
      <c r="L63" s="20" t="s">
        <v>621</v>
      </c>
      <c r="M63" s="20" t="s">
        <v>623</v>
      </c>
      <c r="N63" s="20" t="s">
        <v>623</v>
      </c>
      <c r="O63" s="21">
        <v>1</v>
      </c>
    </row>
    <row r="64" spans="1:15" ht="14.4">
      <c r="A64" s="21">
        <v>120</v>
      </c>
      <c r="B64" s="20" t="s">
        <v>13</v>
      </c>
      <c r="C64" s="20" t="s">
        <v>14</v>
      </c>
      <c r="D64" s="20" t="s">
        <v>263</v>
      </c>
      <c r="E64" s="21">
        <v>8808042916</v>
      </c>
      <c r="F64" s="19" t="s">
        <v>264</v>
      </c>
      <c r="G64" s="20" t="s">
        <v>56</v>
      </c>
      <c r="H64" s="21">
        <v>4.4000000000000004</v>
      </c>
      <c r="I64" s="21">
        <v>34</v>
      </c>
      <c r="J64" s="20" t="s">
        <v>56</v>
      </c>
      <c r="K64" s="20" t="s">
        <v>610</v>
      </c>
      <c r="L64" s="20" t="s">
        <v>621</v>
      </c>
      <c r="M64" s="20" t="s">
        <v>623</v>
      </c>
      <c r="N64" s="20" t="s">
        <v>623</v>
      </c>
      <c r="O64" s="21">
        <v>1</v>
      </c>
    </row>
    <row r="65" spans="1:15" ht="14.4">
      <c r="A65" s="21">
        <v>123</v>
      </c>
      <c r="B65" s="20" t="s">
        <v>13</v>
      </c>
      <c r="C65" s="20" t="s">
        <v>14</v>
      </c>
      <c r="D65" s="20" t="s">
        <v>269</v>
      </c>
      <c r="E65" s="21">
        <v>8467889406</v>
      </c>
      <c r="F65" s="19" t="s">
        <v>270</v>
      </c>
      <c r="G65" s="20" t="s">
        <v>56</v>
      </c>
      <c r="H65" s="21">
        <v>5</v>
      </c>
      <c r="I65" s="21">
        <v>5</v>
      </c>
      <c r="J65" s="20" t="s">
        <v>56</v>
      </c>
      <c r="K65" s="20" t="s">
        <v>610</v>
      </c>
      <c r="L65" s="20" t="s">
        <v>621</v>
      </c>
      <c r="M65" s="20" t="s">
        <v>623</v>
      </c>
      <c r="N65" s="20" t="s">
        <v>623</v>
      </c>
      <c r="O65" s="21">
        <v>1</v>
      </c>
    </row>
    <row r="66" spans="1:15" ht="14.4">
      <c r="A66" s="21">
        <v>125</v>
      </c>
      <c r="B66" s="20" t="s">
        <v>13</v>
      </c>
      <c r="C66" s="20" t="s">
        <v>14</v>
      </c>
      <c r="D66" s="20" t="s">
        <v>273</v>
      </c>
      <c r="E66" s="21">
        <v>9580521078</v>
      </c>
      <c r="F66" s="19" t="s">
        <v>274</v>
      </c>
      <c r="G66" s="20" t="s">
        <v>56</v>
      </c>
      <c r="H66" s="21">
        <v>5</v>
      </c>
      <c r="I66" s="21">
        <v>6</v>
      </c>
      <c r="J66" s="20" t="s">
        <v>56</v>
      </c>
      <c r="K66" s="20" t="s">
        <v>610</v>
      </c>
      <c r="L66" s="20" t="s">
        <v>621</v>
      </c>
      <c r="M66" s="20" t="s">
        <v>623</v>
      </c>
      <c r="N66" s="20" t="s">
        <v>623</v>
      </c>
      <c r="O66" s="21">
        <v>1</v>
      </c>
    </row>
    <row r="67" spans="1:15" ht="14.4">
      <c r="A67" s="21">
        <v>126</v>
      </c>
      <c r="B67" s="20" t="s">
        <v>13</v>
      </c>
      <c r="C67" s="20" t="s">
        <v>14</v>
      </c>
      <c r="D67" s="20" t="s">
        <v>56</v>
      </c>
      <c r="E67" s="21">
        <v>7905648432</v>
      </c>
      <c r="F67" s="19" t="s">
        <v>275</v>
      </c>
      <c r="G67" s="20" t="s">
        <v>56</v>
      </c>
      <c r="H67" s="21">
        <v>5</v>
      </c>
      <c r="I67" s="21">
        <v>2</v>
      </c>
      <c r="J67" s="20" t="s">
        <v>56</v>
      </c>
      <c r="K67" s="20" t="s">
        <v>610</v>
      </c>
      <c r="L67" s="20" t="s">
        <v>621</v>
      </c>
      <c r="M67" s="20" t="s">
        <v>623</v>
      </c>
      <c r="N67" s="20" t="s">
        <v>623</v>
      </c>
      <c r="O67" s="21">
        <v>1</v>
      </c>
    </row>
    <row r="68" spans="1:15" ht="14.4">
      <c r="A68" s="21">
        <v>127</v>
      </c>
      <c r="B68" s="20" t="s">
        <v>13</v>
      </c>
      <c r="C68" s="20" t="s">
        <v>14</v>
      </c>
      <c r="D68" s="20" t="s">
        <v>276</v>
      </c>
      <c r="E68" s="21">
        <v>8574230207</v>
      </c>
      <c r="F68" s="19" t="s">
        <v>277</v>
      </c>
      <c r="G68" s="20" t="s">
        <v>56</v>
      </c>
      <c r="H68" s="21">
        <v>5</v>
      </c>
      <c r="I68" s="21">
        <v>4</v>
      </c>
      <c r="J68" s="20" t="s">
        <v>56</v>
      </c>
      <c r="K68" s="20" t="s">
        <v>610</v>
      </c>
      <c r="L68" s="20" t="s">
        <v>621</v>
      </c>
      <c r="M68" s="20" t="s">
        <v>623</v>
      </c>
      <c r="N68" s="20" t="s">
        <v>623</v>
      </c>
      <c r="O68" s="21">
        <v>1</v>
      </c>
    </row>
    <row r="69" spans="1:15" ht="14.4">
      <c r="A69" s="21">
        <v>128</v>
      </c>
      <c r="B69" s="20" t="s">
        <v>13</v>
      </c>
      <c r="C69" s="20" t="s">
        <v>14</v>
      </c>
      <c r="D69" s="20" t="s">
        <v>278</v>
      </c>
      <c r="E69" s="21">
        <v>6392201178</v>
      </c>
      <c r="F69" s="19" t="s">
        <v>279</v>
      </c>
      <c r="G69" s="20" t="s">
        <v>56</v>
      </c>
      <c r="H69" s="21">
        <v>5</v>
      </c>
      <c r="I69" s="21">
        <v>2</v>
      </c>
      <c r="J69" s="20" t="s">
        <v>56</v>
      </c>
      <c r="K69" s="20" t="s">
        <v>610</v>
      </c>
      <c r="L69" s="20" t="s">
        <v>621</v>
      </c>
      <c r="M69" s="20" t="s">
        <v>623</v>
      </c>
      <c r="N69" s="20" t="s">
        <v>623</v>
      </c>
      <c r="O69" s="21">
        <v>1</v>
      </c>
    </row>
    <row r="70" spans="1:15" ht="14.4">
      <c r="A70" s="21">
        <v>129</v>
      </c>
      <c r="B70" s="20" t="s">
        <v>25</v>
      </c>
      <c r="C70" s="20" t="s">
        <v>26</v>
      </c>
      <c r="D70" s="20" t="s">
        <v>280</v>
      </c>
      <c r="E70" s="21">
        <v>13476009073</v>
      </c>
      <c r="F70" s="19" t="s">
        <v>281</v>
      </c>
      <c r="G70" s="20" t="s">
        <v>282</v>
      </c>
      <c r="H70" s="21">
        <v>4.5999999999999996</v>
      </c>
      <c r="I70" s="21">
        <v>19</v>
      </c>
      <c r="J70" s="20" t="s">
        <v>282</v>
      </c>
      <c r="K70" s="20" t="s">
        <v>613</v>
      </c>
      <c r="L70" s="20" t="s">
        <v>621</v>
      </c>
      <c r="M70" s="20" t="s">
        <v>623</v>
      </c>
      <c r="N70" s="20" t="s">
        <v>623</v>
      </c>
      <c r="O70" s="21">
        <v>0.99</v>
      </c>
    </row>
    <row r="71" spans="1:15" ht="14.4">
      <c r="A71" s="21">
        <v>131</v>
      </c>
      <c r="B71" s="20" t="s">
        <v>25</v>
      </c>
      <c r="C71" s="20" t="s">
        <v>26</v>
      </c>
      <c r="D71" s="20" t="s">
        <v>285</v>
      </c>
      <c r="E71" s="21">
        <v>16468959312</v>
      </c>
      <c r="F71" s="19" t="s">
        <v>286</v>
      </c>
      <c r="G71" s="20" t="s">
        <v>56</v>
      </c>
      <c r="H71" s="21">
        <v>4</v>
      </c>
      <c r="I71" s="21">
        <v>42</v>
      </c>
      <c r="J71" s="20" t="s">
        <v>56</v>
      </c>
      <c r="K71" s="20" t="s">
        <v>613</v>
      </c>
      <c r="L71" s="20" t="s">
        <v>621</v>
      </c>
      <c r="M71" s="20" t="s">
        <v>623</v>
      </c>
      <c r="N71" s="20" t="s">
        <v>623</v>
      </c>
      <c r="O71" s="21">
        <v>0.91</v>
      </c>
    </row>
    <row r="72" spans="1:15" ht="14.4">
      <c r="A72" s="21">
        <v>132</v>
      </c>
      <c r="B72" s="20" t="s">
        <v>25</v>
      </c>
      <c r="C72" s="20" t="s">
        <v>26</v>
      </c>
      <c r="D72" s="20" t="s">
        <v>287</v>
      </c>
      <c r="E72" s="21">
        <v>19178252564</v>
      </c>
      <c r="F72" s="19" t="s">
        <v>288</v>
      </c>
      <c r="G72" s="20" t="s">
        <v>609</v>
      </c>
      <c r="H72" s="21">
        <v>5</v>
      </c>
      <c r="I72" s="21">
        <v>5</v>
      </c>
      <c r="J72" s="20" t="s">
        <v>609</v>
      </c>
      <c r="K72" s="20" t="s">
        <v>613</v>
      </c>
      <c r="L72" s="20" t="s">
        <v>621</v>
      </c>
      <c r="M72" s="20" t="s">
        <v>623</v>
      </c>
      <c r="N72" s="20" t="s">
        <v>623</v>
      </c>
      <c r="O72" s="21">
        <v>1</v>
      </c>
    </row>
    <row r="73" spans="1:15" ht="14.4">
      <c r="A73" s="21">
        <v>141</v>
      </c>
      <c r="B73" s="20" t="s">
        <v>13</v>
      </c>
      <c r="C73" s="20" t="s">
        <v>14</v>
      </c>
      <c r="D73" s="20" t="s">
        <v>305</v>
      </c>
      <c r="E73" s="21">
        <v>6394333919</v>
      </c>
      <c r="F73" s="19" t="s">
        <v>306</v>
      </c>
      <c r="G73" s="20" t="s">
        <v>609</v>
      </c>
      <c r="H73" s="21">
        <v>4.7</v>
      </c>
      <c r="I73" s="21">
        <v>81</v>
      </c>
      <c r="J73" s="20" t="s">
        <v>609</v>
      </c>
      <c r="K73" s="20" t="s">
        <v>610</v>
      </c>
      <c r="L73" s="20" t="s">
        <v>621</v>
      </c>
      <c r="M73" s="20" t="s">
        <v>623</v>
      </c>
      <c r="N73" s="20" t="s">
        <v>623</v>
      </c>
      <c r="O73" s="21">
        <v>0.99</v>
      </c>
    </row>
    <row r="74" spans="1:15" ht="14.4">
      <c r="A74" s="21">
        <v>142</v>
      </c>
      <c r="B74" s="20" t="s">
        <v>13</v>
      </c>
      <c r="C74" s="20" t="s">
        <v>14</v>
      </c>
      <c r="D74" s="20" t="s">
        <v>307</v>
      </c>
      <c r="E74" s="21">
        <v>9140510184</v>
      </c>
      <c r="F74" s="19" t="s">
        <v>308</v>
      </c>
      <c r="G74" s="20" t="s">
        <v>609</v>
      </c>
      <c r="H74" s="21">
        <v>5</v>
      </c>
      <c r="I74" s="21">
        <v>29</v>
      </c>
      <c r="J74" s="20" t="s">
        <v>609</v>
      </c>
      <c r="K74" s="20" t="s">
        <v>610</v>
      </c>
      <c r="L74" s="20" t="s">
        <v>621</v>
      </c>
      <c r="M74" s="20" t="s">
        <v>623</v>
      </c>
      <c r="N74" s="20" t="s">
        <v>623</v>
      </c>
      <c r="O74" s="21">
        <v>0.96</v>
      </c>
    </row>
    <row r="75" spans="1:15" ht="14.4">
      <c r="A75" s="21">
        <v>147</v>
      </c>
      <c r="B75" s="20" t="s">
        <v>13</v>
      </c>
      <c r="C75" s="20" t="s">
        <v>14</v>
      </c>
      <c r="D75" s="20" t="s">
        <v>317</v>
      </c>
      <c r="E75" s="21">
        <v>6392777848</v>
      </c>
      <c r="F75" s="19" t="s">
        <v>318</v>
      </c>
      <c r="G75" s="20" t="s">
        <v>609</v>
      </c>
      <c r="H75" s="21">
        <v>4.4000000000000004</v>
      </c>
      <c r="I75" s="21">
        <v>16</v>
      </c>
      <c r="J75" s="20" t="s">
        <v>609</v>
      </c>
      <c r="K75" s="20" t="s">
        <v>610</v>
      </c>
      <c r="L75" s="20" t="s">
        <v>621</v>
      </c>
      <c r="M75" s="20" t="s">
        <v>623</v>
      </c>
      <c r="N75" s="20" t="s">
        <v>623</v>
      </c>
      <c r="O75" s="21">
        <v>0.93</v>
      </c>
    </row>
    <row r="76" spans="1:15" ht="14.4">
      <c r="A76" s="21">
        <v>149</v>
      </c>
      <c r="B76" s="20" t="s">
        <v>25</v>
      </c>
      <c r="C76" s="20" t="s">
        <v>26</v>
      </c>
      <c r="D76" s="20" t="s">
        <v>321</v>
      </c>
      <c r="E76" s="21">
        <v>12127222680</v>
      </c>
      <c r="F76" s="19" t="s">
        <v>322</v>
      </c>
      <c r="G76" s="20" t="s">
        <v>56</v>
      </c>
      <c r="H76" s="21">
        <v>4.3</v>
      </c>
      <c r="I76" s="21">
        <v>114</v>
      </c>
      <c r="J76" s="20" t="s">
        <v>56</v>
      </c>
      <c r="K76" s="20" t="s">
        <v>613</v>
      </c>
      <c r="L76" s="20" t="s">
        <v>621</v>
      </c>
      <c r="M76" s="20" t="s">
        <v>623</v>
      </c>
      <c r="N76" s="20" t="s">
        <v>623</v>
      </c>
      <c r="O76" s="21">
        <v>0.82</v>
      </c>
    </row>
    <row r="77" spans="1:15" ht="14.4">
      <c r="A77" s="21">
        <v>151</v>
      </c>
      <c r="B77" s="20" t="s">
        <v>25</v>
      </c>
      <c r="C77" s="20" t="s">
        <v>26</v>
      </c>
      <c r="D77" s="20" t="s">
        <v>326</v>
      </c>
      <c r="E77" s="21">
        <v>12122219463</v>
      </c>
      <c r="F77" s="19" t="s">
        <v>327</v>
      </c>
      <c r="G77" s="20" t="s">
        <v>325</v>
      </c>
      <c r="H77" s="21">
        <v>4.0999999999999996</v>
      </c>
      <c r="I77" s="21">
        <v>160</v>
      </c>
      <c r="J77" s="20" t="s">
        <v>325</v>
      </c>
      <c r="K77" s="20" t="s">
        <v>613</v>
      </c>
      <c r="L77" s="20" t="s">
        <v>621</v>
      </c>
      <c r="M77" s="20" t="s">
        <v>623</v>
      </c>
      <c r="N77" s="20" t="s">
        <v>623</v>
      </c>
      <c r="O77" s="21">
        <v>0.93</v>
      </c>
    </row>
    <row r="78" spans="1:15" ht="14.4">
      <c r="A78" s="21">
        <v>152</v>
      </c>
      <c r="B78" s="20" t="s">
        <v>25</v>
      </c>
      <c r="C78" s="20" t="s">
        <v>26</v>
      </c>
      <c r="D78" s="20" t="s">
        <v>328</v>
      </c>
      <c r="E78" s="21">
        <v>12126855151</v>
      </c>
      <c r="F78" s="19" t="s">
        <v>329</v>
      </c>
      <c r="G78" s="20" t="s">
        <v>325</v>
      </c>
      <c r="H78" s="21">
        <v>4.0999999999999996</v>
      </c>
      <c r="I78" s="21">
        <v>45</v>
      </c>
      <c r="J78" s="20" t="s">
        <v>325</v>
      </c>
      <c r="K78" s="20" t="s">
        <v>613</v>
      </c>
      <c r="L78" s="20" t="s">
        <v>621</v>
      </c>
      <c r="M78" s="20" t="s">
        <v>623</v>
      </c>
      <c r="N78" s="20" t="s">
        <v>623</v>
      </c>
      <c r="O78" s="21">
        <v>0.92</v>
      </c>
    </row>
    <row r="79" spans="1:15" ht="14.4">
      <c r="A79" s="21">
        <v>153</v>
      </c>
      <c r="B79" s="20" t="s">
        <v>25</v>
      </c>
      <c r="C79" s="20" t="s">
        <v>26</v>
      </c>
      <c r="D79" s="20" t="s">
        <v>330</v>
      </c>
      <c r="E79" s="21">
        <v>12126751813</v>
      </c>
      <c r="F79" s="19" t="s">
        <v>331</v>
      </c>
      <c r="G79" s="20" t="s">
        <v>325</v>
      </c>
      <c r="H79" s="21">
        <v>4.5</v>
      </c>
      <c r="I79" s="21">
        <v>65</v>
      </c>
      <c r="J79" s="20" t="s">
        <v>325</v>
      </c>
      <c r="K79" s="20" t="s">
        <v>613</v>
      </c>
      <c r="L79" s="20" t="s">
        <v>621</v>
      </c>
      <c r="M79" s="20" t="s">
        <v>623</v>
      </c>
      <c r="N79" s="20" t="s">
        <v>623</v>
      </c>
      <c r="O79" s="21">
        <v>0.96</v>
      </c>
    </row>
    <row r="80" spans="1:15" ht="14.4">
      <c r="A80" s="21">
        <v>154</v>
      </c>
      <c r="B80" s="20" t="s">
        <v>13</v>
      </c>
      <c r="C80" s="20" t="s">
        <v>14</v>
      </c>
      <c r="D80" s="20" t="s">
        <v>332</v>
      </c>
      <c r="E80" s="21">
        <v>6393973428</v>
      </c>
      <c r="F80" s="19" t="s">
        <v>333</v>
      </c>
      <c r="G80" s="20" t="s">
        <v>56</v>
      </c>
      <c r="H80" s="21">
        <v>5</v>
      </c>
      <c r="I80" s="21">
        <v>4</v>
      </c>
      <c r="J80" s="20" t="s">
        <v>56</v>
      </c>
      <c r="K80" s="20" t="s">
        <v>610</v>
      </c>
      <c r="L80" s="20" t="s">
        <v>621</v>
      </c>
      <c r="M80" s="20" t="s">
        <v>623</v>
      </c>
      <c r="N80" s="20" t="s">
        <v>623</v>
      </c>
      <c r="O80" s="21">
        <v>1</v>
      </c>
    </row>
    <row r="81" spans="1:15" ht="14.4">
      <c r="A81" s="21">
        <v>155</v>
      </c>
      <c r="B81" s="20" t="s">
        <v>13</v>
      </c>
      <c r="C81" s="20" t="s">
        <v>14</v>
      </c>
      <c r="D81" s="20" t="s">
        <v>251</v>
      </c>
      <c r="E81" s="21">
        <v>9450110621</v>
      </c>
      <c r="F81" s="19" t="s">
        <v>334</v>
      </c>
      <c r="G81" s="20" t="s">
        <v>56</v>
      </c>
      <c r="H81" s="21">
        <v>5</v>
      </c>
      <c r="I81" s="21">
        <v>1</v>
      </c>
      <c r="J81" s="20" t="s">
        <v>56</v>
      </c>
      <c r="K81" s="20" t="s">
        <v>610</v>
      </c>
      <c r="L81" s="20" t="s">
        <v>621</v>
      </c>
      <c r="M81" s="20" t="s">
        <v>623</v>
      </c>
      <c r="N81" s="20" t="s">
        <v>623</v>
      </c>
      <c r="O81" s="21">
        <v>1</v>
      </c>
    </row>
    <row r="82" spans="1:15" ht="14.4">
      <c r="A82" s="21">
        <v>158</v>
      </c>
      <c r="B82" s="20" t="s">
        <v>13</v>
      </c>
      <c r="C82" s="20" t="s">
        <v>14</v>
      </c>
      <c r="D82" s="20" t="s">
        <v>339</v>
      </c>
      <c r="E82" s="21">
        <v>9659533423</v>
      </c>
      <c r="F82" s="19" t="s">
        <v>340</v>
      </c>
      <c r="G82" s="20" t="s">
        <v>56</v>
      </c>
      <c r="H82" s="21">
        <v>5</v>
      </c>
      <c r="I82" s="21">
        <v>1</v>
      </c>
      <c r="J82" s="20" t="s">
        <v>56</v>
      </c>
      <c r="K82" s="20" t="s">
        <v>610</v>
      </c>
      <c r="L82" s="20" t="s">
        <v>621</v>
      </c>
      <c r="M82" s="20" t="s">
        <v>623</v>
      </c>
      <c r="N82" s="20" t="s">
        <v>623</v>
      </c>
      <c r="O82" s="21">
        <v>1</v>
      </c>
    </row>
    <row r="83" spans="1:15" ht="14.4">
      <c r="A83" s="21">
        <v>159</v>
      </c>
      <c r="B83" s="20" t="s">
        <v>13</v>
      </c>
      <c r="C83" s="20" t="s">
        <v>14</v>
      </c>
      <c r="D83" s="20" t="s">
        <v>341</v>
      </c>
      <c r="E83" s="21">
        <v>8565065134</v>
      </c>
      <c r="F83" s="19" t="s">
        <v>342</v>
      </c>
      <c r="G83" s="20" t="s">
        <v>56</v>
      </c>
      <c r="H83" s="21">
        <v>4.9000000000000004</v>
      </c>
      <c r="I83" s="21">
        <v>24</v>
      </c>
      <c r="J83" s="20" t="s">
        <v>56</v>
      </c>
      <c r="K83" s="20" t="s">
        <v>610</v>
      </c>
      <c r="L83" s="20" t="s">
        <v>621</v>
      </c>
      <c r="M83" s="20" t="s">
        <v>623</v>
      </c>
      <c r="N83" s="20" t="s">
        <v>623</v>
      </c>
      <c r="O83" s="21">
        <v>1</v>
      </c>
    </row>
    <row r="84" spans="1:15" ht="14.4">
      <c r="A84" s="21">
        <v>160</v>
      </c>
      <c r="B84" s="20" t="s">
        <v>13</v>
      </c>
      <c r="C84" s="20" t="s">
        <v>14</v>
      </c>
      <c r="D84" s="20" t="s">
        <v>56</v>
      </c>
      <c r="E84" s="21">
        <v>9415577246</v>
      </c>
      <c r="F84" s="19" t="s">
        <v>343</v>
      </c>
      <c r="G84" s="20" t="s">
        <v>56</v>
      </c>
      <c r="H84" s="21">
        <v>4.3</v>
      </c>
      <c r="I84" s="21">
        <v>15</v>
      </c>
      <c r="J84" s="20" t="s">
        <v>56</v>
      </c>
      <c r="K84" s="20" t="s">
        <v>610</v>
      </c>
      <c r="L84" s="20" t="s">
        <v>621</v>
      </c>
      <c r="M84" s="20" t="s">
        <v>623</v>
      </c>
      <c r="N84" s="20" t="s">
        <v>623</v>
      </c>
      <c r="O84" s="21">
        <v>0.96</v>
      </c>
    </row>
    <row r="85" spans="1:15" ht="14.4">
      <c r="A85" s="21">
        <v>161</v>
      </c>
      <c r="B85" s="20" t="s">
        <v>13</v>
      </c>
      <c r="C85" s="20" t="s">
        <v>14</v>
      </c>
      <c r="D85" s="20" t="s">
        <v>344</v>
      </c>
      <c r="E85" s="21">
        <v>9305265921</v>
      </c>
      <c r="F85" s="19" t="s">
        <v>345</v>
      </c>
      <c r="G85" s="20" t="s">
        <v>56</v>
      </c>
      <c r="H85" s="21">
        <v>5</v>
      </c>
      <c r="I85" s="21">
        <v>4</v>
      </c>
      <c r="J85" s="20" t="s">
        <v>56</v>
      </c>
      <c r="K85" s="20" t="s">
        <v>610</v>
      </c>
      <c r="L85" s="20" t="s">
        <v>621</v>
      </c>
      <c r="M85" s="20" t="s">
        <v>623</v>
      </c>
      <c r="N85" s="20" t="s">
        <v>623</v>
      </c>
      <c r="O85" s="21">
        <v>1</v>
      </c>
    </row>
    <row r="86" spans="1:15" ht="14.4">
      <c r="A86" s="21">
        <v>162</v>
      </c>
      <c r="B86" s="20" t="s">
        <v>13</v>
      </c>
      <c r="C86" s="20" t="s">
        <v>14</v>
      </c>
      <c r="D86" s="20" t="s">
        <v>346</v>
      </c>
      <c r="E86" s="21">
        <v>9453836171</v>
      </c>
      <c r="F86" s="19" t="s">
        <v>347</v>
      </c>
      <c r="G86" s="20" t="s">
        <v>56</v>
      </c>
      <c r="H86" s="21">
        <v>4.8</v>
      </c>
      <c r="I86" s="21">
        <v>5</v>
      </c>
      <c r="J86" s="20" t="s">
        <v>56</v>
      </c>
      <c r="K86" s="20" t="s">
        <v>610</v>
      </c>
      <c r="L86" s="20" t="s">
        <v>621</v>
      </c>
      <c r="M86" s="20" t="s">
        <v>623</v>
      </c>
      <c r="N86" s="20" t="s">
        <v>623</v>
      </c>
      <c r="O86" s="21">
        <v>1</v>
      </c>
    </row>
    <row r="87" spans="1:15" ht="14.4">
      <c r="A87" s="21">
        <v>163</v>
      </c>
      <c r="B87" s="20" t="s">
        <v>13</v>
      </c>
      <c r="C87" s="20" t="s">
        <v>14</v>
      </c>
      <c r="D87" s="20" t="s">
        <v>348</v>
      </c>
      <c r="E87" s="21">
        <v>9795518366</v>
      </c>
      <c r="F87" s="19" t="s">
        <v>349</v>
      </c>
      <c r="G87" s="20" t="s">
        <v>56</v>
      </c>
      <c r="H87" s="21">
        <v>5</v>
      </c>
      <c r="I87" s="21">
        <v>2</v>
      </c>
      <c r="J87" s="20" t="s">
        <v>56</v>
      </c>
      <c r="K87" s="20" t="s">
        <v>610</v>
      </c>
      <c r="L87" s="20" t="s">
        <v>621</v>
      </c>
      <c r="M87" s="20" t="s">
        <v>623</v>
      </c>
      <c r="N87" s="20" t="s">
        <v>623</v>
      </c>
      <c r="O87" s="21">
        <v>1</v>
      </c>
    </row>
    <row r="88" spans="1:15" ht="14.4">
      <c r="A88" s="21">
        <v>164</v>
      </c>
      <c r="B88" s="20" t="s">
        <v>13</v>
      </c>
      <c r="C88" s="20" t="s">
        <v>14</v>
      </c>
      <c r="D88" s="20" t="s">
        <v>350</v>
      </c>
      <c r="E88" s="21">
        <v>9198038319</v>
      </c>
      <c r="F88" s="19" t="s">
        <v>351</v>
      </c>
      <c r="G88" s="20" t="s">
        <v>56</v>
      </c>
      <c r="H88" s="21">
        <v>4.4000000000000004</v>
      </c>
      <c r="I88" s="21">
        <v>31</v>
      </c>
      <c r="J88" s="20" t="s">
        <v>56</v>
      </c>
      <c r="K88" s="20" t="s">
        <v>610</v>
      </c>
      <c r="L88" s="20" t="s">
        <v>621</v>
      </c>
      <c r="M88" s="20" t="s">
        <v>623</v>
      </c>
      <c r="N88" s="20" t="s">
        <v>623</v>
      </c>
      <c r="O88" s="21">
        <v>1</v>
      </c>
    </row>
    <row r="89" spans="1:15" ht="14.4">
      <c r="A89" s="21">
        <v>170</v>
      </c>
      <c r="B89" s="20" t="s">
        <v>25</v>
      </c>
      <c r="C89" s="20" t="s">
        <v>26</v>
      </c>
      <c r="D89" s="20" t="s">
        <v>363</v>
      </c>
      <c r="E89" s="21">
        <v>12127794422</v>
      </c>
      <c r="F89" s="19" t="s">
        <v>364</v>
      </c>
      <c r="G89" s="20" t="s">
        <v>325</v>
      </c>
      <c r="H89" s="21">
        <v>4.5999999999999996</v>
      </c>
      <c r="I89" s="21">
        <v>66</v>
      </c>
      <c r="J89" s="20" t="s">
        <v>325</v>
      </c>
      <c r="K89" s="20" t="s">
        <v>613</v>
      </c>
      <c r="L89" s="20" t="s">
        <v>621</v>
      </c>
      <c r="M89" s="20" t="s">
        <v>623</v>
      </c>
      <c r="N89" s="20" t="s">
        <v>623</v>
      </c>
      <c r="O89" s="21">
        <v>0.92</v>
      </c>
    </row>
    <row r="90" spans="1:15" ht="14.4">
      <c r="A90" s="21">
        <v>171</v>
      </c>
      <c r="B90" s="20" t="s">
        <v>25</v>
      </c>
      <c r="C90" s="20" t="s">
        <v>26</v>
      </c>
      <c r="D90" s="20" t="s">
        <v>365</v>
      </c>
      <c r="E90" s="21">
        <v>12126436789</v>
      </c>
      <c r="F90" s="19" t="s">
        <v>366</v>
      </c>
      <c r="G90" s="20" t="s">
        <v>325</v>
      </c>
      <c r="H90" s="21">
        <v>4</v>
      </c>
      <c r="I90" s="21">
        <v>135</v>
      </c>
      <c r="J90" s="20" t="s">
        <v>325</v>
      </c>
      <c r="K90" s="20" t="s">
        <v>613</v>
      </c>
      <c r="L90" s="20" t="s">
        <v>621</v>
      </c>
      <c r="M90" s="20" t="s">
        <v>623</v>
      </c>
      <c r="N90" s="20" t="s">
        <v>623</v>
      </c>
      <c r="O90" s="21">
        <v>0.9</v>
      </c>
    </row>
    <row r="91" spans="1:15" ht="14.4">
      <c r="A91" s="21">
        <v>172</v>
      </c>
      <c r="B91" s="20" t="s">
        <v>25</v>
      </c>
      <c r="C91" s="20" t="s">
        <v>26</v>
      </c>
      <c r="D91" s="20" t="s">
        <v>367</v>
      </c>
      <c r="E91" s="21">
        <v>12129621993</v>
      </c>
      <c r="F91" s="19" t="s">
        <v>368</v>
      </c>
      <c r="G91" s="20" t="s">
        <v>325</v>
      </c>
      <c r="H91" s="21">
        <v>4.0999999999999996</v>
      </c>
      <c r="I91" s="21">
        <v>80</v>
      </c>
      <c r="J91" s="20" t="s">
        <v>325</v>
      </c>
      <c r="K91" s="20" t="s">
        <v>613</v>
      </c>
      <c r="L91" s="20" t="s">
        <v>621</v>
      </c>
      <c r="M91" s="20" t="s">
        <v>623</v>
      </c>
      <c r="N91" s="20" t="s">
        <v>623</v>
      </c>
      <c r="O91" s="21">
        <v>1</v>
      </c>
    </row>
    <row r="92" spans="1:15" ht="14.4">
      <c r="A92" s="21">
        <v>174</v>
      </c>
      <c r="B92" s="20" t="s">
        <v>25</v>
      </c>
      <c r="C92" s="20" t="s">
        <v>26</v>
      </c>
      <c r="D92" s="20" t="s">
        <v>371</v>
      </c>
      <c r="E92" s="21">
        <v>12128288839</v>
      </c>
      <c r="F92" s="19" t="s">
        <v>372</v>
      </c>
      <c r="G92" s="20" t="s">
        <v>325</v>
      </c>
      <c r="H92" s="21">
        <v>4.5</v>
      </c>
      <c r="I92" s="21">
        <v>56</v>
      </c>
      <c r="J92" s="20" t="s">
        <v>325</v>
      </c>
      <c r="K92" s="20" t="s">
        <v>613</v>
      </c>
      <c r="L92" s="20" t="s">
        <v>621</v>
      </c>
      <c r="M92" s="20" t="s">
        <v>623</v>
      </c>
      <c r="N92" s="20" t="s">
        <v>623</v>
      </c>
      <c r="O92" s="21">
        <v>1</v>
      </c>
    </row>
    <row r="93" spans="1:15" ht="14.4">
      <c r="A93" s="21">
        <v>177</v>
      </c>
      <c r="B93" s="20" t="s">
        <v>13</v>
      </c>
      <c r="C93" s="20" t="s">
        <v>14</v>
      </c>
      <c r="D93" s="20" t="s">
        <v>375</v>
      </c>
      <c r="E93" s="21">
        <v>9454363252</v>
      </c>
      <c r="F93" s="19" t="s">
        <v>376</v>
      </c>
      <c r="G93" s="20" t="s">
        <v>358</v>
      </c>
      <c r="H93" s="21">
        <v>4.7</v>
      </c>
      <c r="I93" s="21">
        <v>84</v>
      </c>
      <c r="J93" s="20" t="s">
        <v>358</v>
      </c>
      <c r="K93" s="20" t="s">
        <v>610</v>
      </c>
      <c r="L93" s="20" t="s">
        <v>621</v>
      </c>
      <c r="M93" s="20" t="s">
        <v>623</v>
      </c>
      <c r="N93" s="20" t="s">
        <v>623</v>
      </c>
      <c r="O93" s="21">
        <v>0.98</v>
      </c>
    </row>
    <row r="94" spans="1:15" ht="14.4">
      <c r="A94" s="21">
        <v>180</v>
      </c>
      <c r="B94" s="20" t="s">
        <v>13</v>
      </c>
      <c r="C94" s="20" t="s">
        <v>14</v>
      </c>
      <c r="D94" s="20" t="s">
        <v>381</v>
      </c>
      <c r="E94" s="21">
        <v>8318849521</v>
      </c>
      <c r="F94" s="19" t="s">
        <v>382</v>
      </c>
      <c r="G94" s="20" t="s">
        <v>358</v>
      </c>
      <c r="H94" s="21">
        <v>4</v>
      </c>
      <c r="I94" s="21">
        <v>625</v>
      </c>
      <c r="J94" s="20" t="s">
        <v>358</v>
      </c>
      <c r="K94" s="20" t="s">
        <v>610</v>
      </c>
      <c r="L94" s="20" t="s">
        <v>621</v>
      </c>
      <c r="M94" s="20" t="s">
        <v>623</v>
      </c>
      <c r="N94" s="20" t="s">
        <v>623</v>
      </c>
      <c r="O94" s="21">
        <v>0.72</v>
      </c>
    </row>
    <row r="95" spans="1:15" ht="14.4">
      <c r="A95" s="21">
        <v>186</v>
      </c>
      <c r="B95" s="20" t="s">
        <v>13</v>
      </c>
      <c r="C95" s="20" t="s">
        <v>14</v>
      </c>
      <c r="D95" s="20" t="s">
        <v>393</v>
      </c>
      <c r="E95" s="21">
        <v>7800780040</v>
      </c>
      <c r="F95" s="19" t="s">
        <v>394</v>
      </c>
      <c r="G95" s="20" t="s">
        <v>358</v>
      </c>
      <c r="H95" s="21">
        <v>4.8</v>
      </c>
      <c r="I95" s="21">
        <v>10</v>
      </c>
      <c r="J95" s="20" t="s">
        <v>358</v>
      </c>
      <c r="K95" s="20" t="s">
        <v>610</v>
      </c>
      <c r="L95" s="20" t="s">
        <v>621</v>
      </c>
      <c r="M95" s="20" t="s">
        <v>623</v>
      </c>
      <c r="N95" s="20" t="s">
        <v>623</v>
      </c>
      <c r="O95" s="21">
        <v>1</v>
      </c>
    </row>
    <row r="96" spans="1:15" ht="14.4">
      <c r="A96" s="21">
        <v>191</v>
      </c>
      <c r="B96" s="20" t="s">
        <v>25</v>
      </c>
      <c r="C96" s="20" t="s">
        <v>26</v>
      </c>
      <c r="D96" s="20" t="s">
        <v>40</v>
      </c>
      <c r="E96" s="21">
        <v>12126088866</v>
      </c>
      <c r="F96" s="19" t="s">
        <v>404</v>
      </c>
      <c r="G96" s="20" t="s">
        <v>29</v>
      </c>
      <c r="H96" s="21">
        <v>4.5999999999999996</v>
      </c>
      <c r="I96" s="21">
        <v>17</v>
      </c>
      <c r="J96" s="20" t="s">
        <v>29</v>
      </c>
      <c r="K96" s="20" t="s">
        <v>613</v>
      </c>
      <c r="L96" s="20" t="s">
        <v>621</v>
      </c>
      <c r="M96" s="20" t="s">
        <v>623</v>
      </c>
      <c r="N96" s="20" t="s">
        <v>623</v>
      </c>
      <c r="O96" s="21">
        <v>0.99</v>
      </c>
    </row>
    <row r="97" spans="1:15" ht="14.4">
      <c r="A97" s="21">
        <v>192</v>
      </c>
      <c r="B97" s="20" t="s">
        <v>25</v>
      </c>
      <c r="C97" s="20" t="s">
        <v>26</v>
      </c>
      <c r="D97" s="20" t="s">
        <v>405</v>
      </c>
      <c r="E97" s="21">
        <v>12124310099</v>
      </c>
      <c r="F97" s="19" t="s">
        <v>406</v>
      </c>
      <c r="G97" s="20" t="s">
        <v>407</v>
      </c>
      <c r="H97" s="21">
        <v>4.7</v>
      </c>
      <c r="I97" s="21">
        <v>80</v>
      </c>
      <c r="J97" s="20" t="s">
        <v>407</v>
      </c>
      <c r="K97" s="20" t="s">
        <v>613</v>
      </c>
      <c r="L97" s="20" t="s">
        <v>621</v>
      </c>
      <c r="M97" s="20" t="s">
        <v>623</v>
      </c>
      <c r="N97" s="20" t="s">
        <v>623</v>
      </c>
      <c r="O97" s="21">
        <v>1</v>
      </c>
    </row>
    <row r="98" spans="1:15" ht="14.4">
      <c r="A98" s="21">
        <v>193</v>
      </c>
      <c r="B98" s="20" t="s">
        <v>25</v>
      </c>
      <c r="C98" s="20" t="s">
        <v>26</v>
      </c>
      <c r="D98" s="20" t="s">
        <v>330</v>
      </c>
      <c r="E98" s="21">
        <v>12126751813</v>
      </c>
      <c r="F98" s="19" t="s">
        <v>408</v>
      </c>
      <c r="G98" s="20" t="s">
        <v>325</v>
      </c>
      <c r="H98" s="21">
        <v>4.5</v>
      </c>
      <c r="I98" s="21">
        <v>65</v>
      </c>
      <c r="J98" s="20" t="s">
        <v>325</v>
      </c>
      <c r="K98" s="20" t="s">
        <v>613</v>
      </c>
      <c r="L98" s="20" t="s">
        <v>621</v>
      </c>
      <c r="M98" s="20" t="s">
        <v>623</v>
      </c>
      <c r="N98" s="20" t="s">
        <v>623</v>
      </c>
      <c r="O98" s="21">
        <v>0.96</v>
      </c>
    </row>
    <row r="99" spans="1:15" ht="14.4">
      <c r="A99" s="21">
        <v>194</v>
      </c>
      <c r="B99" s="20" t="s">
        <v>25</v>
      </c>
      <c r="C99" s="20" t="s">
        <v>26</v>
      </c>
      <c r="D99" s="20" t="s">
        <v>616</v>
      </c>
      <c r="E99" s="21">
        <v>12122571600</v>
      </c>
      <c r="F99" s="19" t="s">
        <v>410</v>
      </c>
      <c r="G99" s="20" t="s">
        <v>615</v>
      </c>
      <c r="H99" s="21">
        <v>3.5</v>
      </c>
      <c r="I99" s="21">
        <v>264</v>
      </c>
      <c r="J99" s="20" t="s">
        <v>615</v>
      </c>
      <c r="K99" s="20" t="s">
        <v>613</v>
      </c>
      <c r="L99" s="20" t="s">
        <v>621</v>
      </c>
      <c r="M99" s="20" t="s">
        <v>623</v>
      </c>
      <c r="N99" s="20" t="s">
        <v>623</v>
      </c>
      <c r="O99" s="21">
        <v>0.93</v>
      </c>
    </row>
    <row r="100" spans="1:15" ht="14.4">
      <c r="A100" s="21">
        <v>200</v>
      </c>
      <c r="B100" s="20" t="s">
        <v>13</v>
      </c>
      <c r="C100" s="20" t="s">
        <v>14</v>
      </c>
      <c r="D100" s="20" t="s">
        <v>421</v>
      </c>
      <c r="E100" s="21">
        <v>9793115487</v>
      </c>
      <c r="F100" s="19" t="s">
        <v>422</v>
      </c>
      <c r="G100" s="20" t="s">
        <v>213</v>
      </c>
      <c r="H100" s="21">
        <v>4.2</v>
      </c>
      <c r="I100" s="21">
        <v>245</v>
      </c>
      <c r="J100" s="20" t="s">
        <v>213</v>
      </c>
      <c r="K100" s="20" t="s">
        <v>610</v>
      </c>
      <c r="L100" s="20" t="s">
        <v>621</v>
      </c>
      <c r="M100" s="20" t="s">
        <v>623</v>
      </c>
      <c r="N100" s="20" t="s">
        <v>623</v>
      </c>
      <c r="O100" s="21">
        <v>0.89</v>
      </c>
    </row>
    <row r="101" spans="1:15" ht="14.4">
      <c r="A101" s="21">
        <v>205</v>
      </c>
      <c r="B101" s="20" t="s">
        <v>13</v>
      </c>
      <c r="C101" s="20" t="s">
        <v>14</v>
      </c>
      <c r="D101" s="20" t="s">
        <v>431</v>
      </c>
      <c r="E101" s="21">
        <v>9559898355</v>
      </c>
      <c r="F101" s="19" t="s">
        <v>432</v>
      </c>
      <c r="G101" s="20" t="s">
        <v>213</v>
      </c>
      <c r="H101" s="21">
        <v>4</v>
      </c>
      <c r="I101" s="21">
        <v>36</v>
      </c>
      <c r="J101" s="20" t="s">
        <v>213</v>
      </c>
      <c r="K101" s="20" t="s">
        <v>610</v>
      </c>
      <c r="L101" s="20" t="s">
        <v>621</v>
      </c>
      <c r="M101" s="20" t="s">
        <v>623</v>
      </c>
      <c r="N101" s="20" t="s">
        <v>623</v>
      </c>
      <c r="O101" s="21">
        <v>0.95</v>
      </c>
    </row>
    <row r="102" spans="1:15" ht="14.4">
      <c r="A102" s="21">
        <v>208</v>
      </c>
      <c r="B102" s="20" t="s">
        <v>13</v>
      </c>
      <c r="C102" s="20" t="s">
        <v>14</v>
      </c>
      <c r="D102" s="20" t="s">
        <v>437</v>
      </c>
      <c r="E102" s="21">
        <v>9219906262</v>
      </c>
      <c r="F102" s="19" t="s">
        <v>438</v>
      </c>
      <c r="G102" s="20" t="s">
        <v>213</v>
      </c>
      <c r="H102" s="21">
        <v>4.2</v>
      </c>
      <c r="I102" s="21">
        <v>260</v>
      </c>
      <c r="J102" s="20" t="s">
        <v>213</v>
      </c>
      <c r="K102" s="20" t="s">
        <v>610</v>
      </c>
      <c r="L102" s="20" t="s">
        <v>621</v>
      </c>
      <c r="M102" s="20" t="s">
        <v>623</v>
      </c>
      <c r="N102" s="20" t="s">
        <v>623</v>
      </c>
      <c r="O102" s="21">
        <v>0.89</v>
      </c>
    </row>
    <row r="103" spans="1:15" ht="14.4">
      <c r="A103" s="21">
        <v>210</v>
      </c>
      <c r="B103" s="20" t="s">
        <v>25</v>
      </c>
      <c r="C103" s="20" t="s">
        <v>26</v>
      </c>
      <c r="D103" s="20" t="s">
        <v>363</v>
      </c>
      <c r="E103" s="21">
        <v>12127794422</v>
      </c>
      <c r="F103" s="19" t="s">
        <v>364</v>
      </c>
      <c r="G103" s="20" t="s">
        <v>325</v>
      </c>
      <c r="H103" s="21">
        <v>4.5999999999999996</v>
      </c>
      <c r="I103" s="21">
        <v>66</v>
      </c>
      <c r="J103" s="20" t="s">
        <v>325</v>
      </c>
      <c r="K103" s="20" t="s">
        <v>613</v>
      </c>
      <c r="L103" s="20" t="s">
        <v>621</v>
      </c>
      <c r="M103" s="20" t="s">
        <v>623</v>
      </c>
      <c r="N103" s="20" t="s">
        <v>623</v>
      </c>
      <c r="O103" s="21">
        <v>0.92</v>
      </c>
    </row>
    <row r="104" spans="1:15" ht="14.4">
      <c r="A104" s="21">
        <v>211</v>
      </c>
      <c r="B104" s="20" t="s">
        <v>25</v>
      </c>
      <c r="C104" s="20" t="s">
        <v>26</v>
      </c>
      <c r="D104" s="20" t="s">
        <v>365</v>
      </c>
      <c r="E104" s="21">
        <v>12126436789</v>
      </c>
      <c r="F104" s="19" t="s">
        <v>366</v>
      </c>
      <c r="G104" s="20" t="s">
        <v>325</v>
      </c>
      <c r="H104" s="21">
        <v>4</v>
      </c>
      <c r="I104" s="21">
        <v>135</v>
      </c>
      <c r="J104" s="20" t="s">
        <v>325</v>
      </c>
      <c r="K104" s="20" t="s">
        <v>613</v>
      </c>
      <c r="L104" s="20" t="s">
        <v>621</v>
      </c>
      <c r="M104" s="20" t="s">
        <v>623</v>
      </c>
      <c r="N104" s="20" t="s">
        <v>623</v>
      </c>
      <c r="O104" s="21">
        <v>0.9</v>
      </c>
    </row>
    <row r="105" spans="1:15" ht="14.4">
      <c r="A105" s="21">
        <v>212</v>
      </c>
      <c r="B105" s="20" t="s">
        <v>25</v>
      </c>
      <c r="C105" s="20" t="s">
        <v>26</v>
      </c>
      <c r="D105" s="20" t="s">
        <v>367</v>
      </c>
      <c r="E105" s="21">
        <v>12129621993</v>
      </c>
      <c r="F105" s="19" t="s">
        <v>368</v>
      </c>
      <c r="G105" s="20" t="s">
        <v>325</v>
      </c>
      <c r="H105" s="21">
        <v>4.0999999999999996</v>
      </c>
      <c r="I105" s="21">
        <v>80</v>
      </c>
      <c r="J105" s="20" t="s">
        <v>325</v>
      </c>
      <c r="K105" s="20" t="s">
        <v>613</v>
      </c>
      <c r="L105" s="20" t="s">
        <v>621</v>
      </c>
      <c r="M105" s="20" t="s">
        <v>623</v>
      </c>
      <c r="N105" s="20" t="s">
        <v>623</v>
      </c>
      <c r="O105" s="21">
        <v>1</v>
      </c>
    </row>
    <row r="106" spans="1:15" ht="14.4">
      <c r="A106" s="21">
        <v>214</v>
      </c>
      <c r="B106" s="20" t="s">
        <v>25</v>
      </c>
      <c r="C106" s="20" t="s">
        <v>26</v>
      </c>
      <c r="D106" s="20" t="s">
        <v>371</v>
      </c>
      <c r="E106" s="21">
        <v>12128288839</v>
      </c>
      <c r="F106" s="19" t="s">
        <v>372</v>
      </c>
      <c r="G106" s="20" t="s">
        <v>325</v>
      </c>
      <c r="H106" s="21">
        <v>4.5</v>
      </c>
      <c r="I106" s="21">
        <v>56</v>
      </c>
      <c r="J106" s="20" t="s">
        <v>325</v>
      </c>
      <c r="K106" s="20" t="s">
        <v>613</v>
      </c>
      <c r="L106" s="20" t="s">
        <v>621</v>
      </c>
      <c r="M106" s="20" t="s">
        <v>623</v>
      </c>
      <c r="N106" s="20" t="s">
        <v>623</v>
      </c>
      <c r="O106" s="21">
        <v>1</v>
      </c>
    </row>
    <row r="107" spans="1:15" ht="14.4">
      <c r="A107" s="21">
        <v>216</v>
      </c>
      <c r="B107" s="20" t="s">
        <v>13</v>
      </c>
      <c r="C107" s="20" t="s">
        <v>14</v>
      </c>
      <c r="D107" s="20" t="s">
        <v>443</v>
      </c>
      <c r="E107" s="21">
        <v>8097482510</v>
      </c>
      <c r="F107" s="19" t="s">
        <v>444</v>
      </c>
      <c r="G107" s="20" t="s">
        <v>213</v>
      </c>
      <c r="H107" s="21">
        <v>4.3</v>
      </c>
      <c r="I107" s="21">
        <v>31</v>
      </c>
      <c r="J107" s="20" t="s">
        <v>213</v>
      </c>
      <c r="K107" s="20" t="s">
        <v>610</v>
      </c>
      <c r="L107" s="20" t="s">
        <v>621</v>
      </c>
      <c r="M107" s="20" t="s">
        <v>623</v>
      </c>
      <c r="N107" s="20" t="s">
        <v>623</v>
      </c>
      <c r="O107" s="21">
        <v>1</v>
      </c>
    </row>
    <row r="108" spans="1:15" ht="14.4">
      <c r="A108" s="21">
        <v>217</v>
      </c>
      <c r="B108" s="20" t="s">
        <v>13</v>
      </c>
      <c r="C108" s="20" t="s">
        <v>14</v>
      </c>
      <c r="D108" s="20" t="s">
        <v>445</v>
      </c>
      <c r="E108" s="21">
        <v>9839034133</v>
      </c>
      <c r="F108" s="19" t="s">
        <v>446</v>
      </c>
      <c r="G108" s="20" t="s">
        <v>213</v>
      </c>
      <c r="H108" s="21">
        <v>4</v>
      </c>
      <c r="I108" s="21">
        <v>36</v>
      </c>
      <c r="J108" s="20" t="s">
        <v>213</v>
      </c>
      <c r="K108" s="20" t="s">
        <v>610</v>
      </c>
      <c r="L108" s="20" t="s">
        <v>621</v>
      </c>
      <c r="M108" s="20" t="s">
        <v>623</v>
      </c>
      <c r="N108" s="20" t="s">
        <v>623</v>
      </c>
      <c r="O108" s="21">
        <v>0.95</v>
      </c>
    </row>
    <row r="109" spans="1:15" ht="14.4">
      <c r="A109" s="21">
        <v>218</v>
      </c>
      <c r="B109" s="20" t="s">
        <v>13</v>
      </c>
      <c r="C109" s="20" t="s">
        <v>14</v>
      </c>
      <c r="D109" s="20" t="s">
        <v>447</v>
      </c>
      <c r="E109" s="21">
        <v>8840136926</v>
      </c>
      <c r="F109" s="19" t="s">
        <v>448</v>
      </c>
      <c r="G109" s="20" t="s">
        <v>213</v>
      </c>
      <c r="H109" s="21">
        <v>4.8</v>
      </c>
      <c r="I109" s="21">
        <v>22</v>
      </c>
      <c r="J109" s="20" t="s">
        <v>213</v>
      </c>
      <c r="K109" s="20" t="s">
        <v>610</v>
      </c>
      <c r="L109" s="20" t="s">
        <v>621</v>
      </c>
      <c r="M109" s="20" t="s">
        <v>623</v>
      </c>
      <c r="N109" s="20" t="s">
        <v>623</v>
      </c>
      <c r="O109" s="21">
        <v>1</v>
      </c>
    </row>
    <row r="110" spans="1:15" ht="14.4">
      <c r="A110" s="21">
        <v>219</v>
      </c>
      <c r="B110" s="20" t="s">
        <v>13</v>
      </c>
      <c r="C110" s="20" t="s">
        <v>14</v>
      </c>
      <c r="D110" s="20" t="s">
        <v>449</v>
      </c>
      <c r="E110" s="21">
        <v>9839018384</v>
      </c>
      <c r="F110" s="19" t="s">
        <v>450</v>
      </c>
      <c r="G110" s="20" t="s">
        <v>213</v>
      </c>
      <c r="H110" s="21">
        <v>3.8</v>
      </c>
      <c r="I110" s="21">
        <v>219</v>
      </c>
      <c r="J110" s="20" t="s">
        <v>213</v>
      </c>
      <c r="K110" s="20" t="s">
        <v>610</v>
      </c>
      <c r="L110" s="20" t="s">
        <v>621</v>
      </c>
      <c r="M110" s="20" t="s">
        <v>623</v>
      </c>
      <c r="N110" s="20" t="s">
        <v>623</v>
      </c>
      <c r="O110" s="21">
        <v>0.98</v>
      </c>
    </row>
    <row r="111" spans="1:15" ht="14.4">
      <c r="A111" s="21">
        <v>220</v>
      </c>
      <c r="B111" s="20" t="s">
        <v>13</v>
      </c>
      <c r="C111" s="20" t="s">
        <v>14</v>
      </c>
      <c r="D111" s="20" t="s">
        <v>451</v>
      </c>
      <c r="E111" s="21">
        <v>5224010785</v>
      </c>
      <c r="F111" s="19" t="s">
        <v>452</v>
      </c>
      <c r="G111" s="20" t="s">
        <v>213</v>
      </c>
      <c r="H111" s="21">
        <v>3.8</v>
      </c>
      <c r="I111" s="21">
        <v>151</v>
      </c>
      <c r="J111" s="20" t="s">
        <v>213</v>
      </c>
      <c r="K111" s="20" t="s">
        <v>610</v>
      </c>
      <c r="L111" s="20" t="s">
        <v>621</v>
      </c>
      <c r="M111" s="20" t="s">
        <v>623</v>
      </c>
      <c r="N111" s="20" t="s">
        <v>623</v>
      </c>
      <c r="O111" s="21">
        <v>0.93</v>
      </c>
    </row>
    <row r="112" spans="1:15" ht="14.4">
      <c r="A112" s="21">
        <v>221</v>
      </c>
      <c r="B112" s="20" t="s">
        <v>13</v>
      </c>
      <c r="C112" s="20" t="s">
        <v>14</v>
      </c>
      <c r="D112" s="20" t="s">
        <v>453</v>
      </c>
      <c r="E112" s="21">
        <v>7985938863</v>
      </c>
      <c r="F112" s="19" t="s">
        <v>454</v>
      </c>
      <c r="G112" s="20" t="s">
        <v>213</v>
      </c>
      <c r="H112" s="21">
        <v>4.3</v>
      </c>
      <c r="I112" s="21">
        <v>36</v>
      </c>
      <c r="J112" s="20" t="s">
        <v>213</v>
      </c>
      <c r="K112" s="20" t="s">
        <v>610</v>
      </c>
      <c r="L112" s="20" t="s">
        <v>621</v>
      </c>
      <c r="M112" s="20" t="s">
        <v>623</v>
      </c>
      <c r="N112" s="20" t="s">
        <v>623</v>
      </c>
      <c r="O112" s="21">
        <v>1</v>
      </c>
    </row>
    <row r="113" spans="1:15" ht="14.4">
      <c r="A113" s="21">
        <v>222</v>
      </c>
      <c r="B113" s="20" t="s">
        <v>13</v>
      </c>
      <c r="C113" s="20" t="s">
        <v>14</v>
      </c>
      <c r="D113" s="20" t="s">
        <v>455</v>
      </c>
      <c r="E113" s="21">
        <v>6351721810</v>
      </c>
      <c r="F113" s="19" t="s">
        <v>456</v>
      </c>
      <c r="G113" s="20" t="s">
        <v>213</v>
      </c>
      <c r="H113" s="21">
        <v>5</v>
      </c>
      <c r="I113" s="21">
        <v>6</v>
      </c>
      <c r="J113" s="20" t="s">
        <v>213</v>
      </c>
      <c r="K113" s="20" t="s">
        <v>610</v>
      </c>
      <c r="L113" s="20" t="s">
        <v>621</v>
      </c>
      <c r="M113" s="20" t="s">
        <v>623</v>
      </c>
      <c r="N113" s="20" t="s">
        <v>623</v>
      </c>
      <c r="O113" s="21">
        <v>1</v>
      </c>
    </row>
    <row r="114" spans="1:15" ht="14.4">
      <c r="A114" s="21">
        <v>223</v>
      </c>
      <c r="B114" s="20" t="s">
        <v>13</v>
      </c>
      <c r="C114" s="20" t="s">
        <v>14</v>
      </c>
      <c r="D114" s="20" t="s">
        <v>457</v>
      </c>
      <c r="E114" s="21">
        <v>9889889371</v>
      </c>
      <c r="F114" s="19" t="s">
        <v>458</v>
      </c>
      <c r="G114" s="20" t="s">
        <v>213</v>
      </c>
      <c r="H114" s="21">
        <v>4.2</v>
      </c>
      <c r="I114" s="21">
        <v>39</v>
      </c>
      <c r="J114" s="20" t="s">
        <v>213</v>
      </c>
      <c r="K114" s="20" t="s">
        <v>610</v>
      </c>
      <c r="L114" s="20" t="s">
        <v>621</v>
      </c>
      <c r="M114" s="20" t="s">
        <v>623</v>
      </c>
      <c r="N114" s="20" t="s">
        <v>623</v>
      </c>
      <c r="O114" s="21">
        <v>0.94</v>
      </c>
    </row>
    <row r="115" spans="1:15" ht="14.4">
      <c r="A115" s="21">
        <v>224</v>
      </c>
      <c r="B115" s="20" t="s">
        <v>13</v>
      </c>
      <c r="C115" s="20" t="s">
        <v>14</v>
      </c>
      <c r="D115" s="20" t="s">
        <v>459</v>
      </c>
      <c r="E115" s="21">
        <v>7007026220</v>
      </c>
      <c r="F115" s="19" t="s">
        <v>460</v>
      </c>
      <c r="G115" s="20" t="s">
        <v>213</v>
      </c>
      <c r="H115" s="21">
        <v>5</v>
      </c>
      <c r="I115" s="21">
        <v>4</v>
      </c>
      <c r="J115" s="20" t="s">
        <v>213</v>
      </c>
      <c r="K115" s="20" t="s">
        <v>610</v>
      </c>
      <c r="L115" s="20" t="s">
        <v>621</v>
      </c>
      <c r="M115" s="20" t="s">
        <v>623</v>
      </c>
      <c r="N115" s="20" t="s">
        <v>623</v>
      </c>
      <c r="O115" s="21">
        <v>1</v>
      </c>
    </row>
    <row r="116" spans="1:15" ht="14.4">
      <c r="A116" s="21">
        <v>227</v>
      </c>
      <c r="B116" s="20" t="s">
        <v>13</v>
      </c>
      <c r="C116" s="20" t="s">
        <v>14</v>
      </c>
      <c r="D116" s="20" t="s">
        <v>465</v>
      </c>
      <c r="E116" s="21">
        <v>9621454399</v>
      </c>
      <c r="F116" s="19" t="s">
        <v>466</v>
      </c>
      <c r="G116" s="20" t="s">
        <v>213</v>
      </c>
      <c r="H116" s="21">
        <v>5</v>
      </c>
      <c r="I116" s="21">
        <v>3</v>
      </c>
      <c r="J116" s="20" t="s">
        <v>213</v>
      </c>
      <c r="K116" s="20" t="s">
        <v>610</v>
      </c>
      <c r="L116" s="20" t="s">
        <v>621</v>
      </c>
      <c r="M116" s="20" t="s">
        <v>623</v>
      </c>
      <c r="N116" s="20" t="s">
        <v>623</v>
      </c>
      <c r="O116" s="21">
        <v>0.98</v>
      </c>
    </row>
    <row r="117" spans="1:15" ht="14.4">
      <c r="A117" s="21">
        <v>228</v>
      </c>
      <c r="B117" s="20" t="s">
        <v>13</v>
      </c>
      <c r="C117" s="20" t="s">
        <v>14</v>
      </c>
      <c r="D117" s="20" t="s">
        <v>467</v>
      </c>
      <c r="E117" s="21">
        <v>8545052079</v>
      </c>
      <c r="F117" s="19" t="s">
        <v>468</v>
      </c>
      <c r="G117" s="20" t="s">
        <v>213</v>
      </c>
      <c r="H117" s="21">
        <v>5</v>
      </c>
      <c r="I117" s="21">
        <v>1</v>
      </c>
      <c r="J117" s="20" t="s">
        <v>213</v>
      </c>
      <c r="K117" s="20" t="s">
        <v>610</v>
      </c>
      <c r="L117" s="20" t="s">
        <v>621</v>
      </c>
      <c r="M117" s="20" t="s">
        <v>623</v>
      </c>
      <c r="N117" s="20" t="s">
        <v>623</v>
      </c>
      <c r="O117" s="21">
        <v>1</v>
      </c>
    </row>
    <row r="118" spans="1:15" ht="14.4">
      <c r="A118" s="21">
        <v>229</v>
      </c>
      <c r="B118" s="20" t="s">
        <v>13</v>
      </c>
      <c r="C118" s="20" t="s">
        <v>14</v>
      </c>
      <c r="D118" s="20" t="s">
        <v>469</v>
      </c>
      <c r="E118" s="21">
        <v>9889646222</v>
      </c>
      <c r="F118" s="19" t="s">
        <v>470</v>
      </c>
      <c r="G118" s="20" t="s">
        <v>213</v>
      </c>
      <c r="H118" s="21">
        <v>4.9000000000000004</v>
      </c>
      <c r="I118" s="21">
        <v>12</v>
      </c>
      <c r="J118" s="20" t="s">
        <v>213</v>
      </c>
      <c r="K118" s="20" t="s">
        <v>610</v>
      </c>
      <c r="L118" s="20" t="s">
        <v>621</v>
      </c>
      <c r="M118" s="20" t="s">
        <v>623</v>
      </c>
      <c r="N118" s="20" t="s">
        <v>623</v>
      </c>
      <c r="O118" s="21">
        <v>1</v>
      </c>
    </row>
    <row r="119" spans="1:15" ht="14.4">
      <c r="A119" s="21">
        <v>230</v>
      </c>
      <c r="B119" s="20" t="s">
        <v>25</v>
      </c>
      <c r="C119" s="20" t="s">
        <v>26</v>
      </c>
      <c r="D119" s="20" t="s">
        <v>471</v>
      </c>
      <c r="E119" s="21">
        <v>12126738362</v>
      </c>
      <c r="F119" s="19" t="s">
        <v>472</v>
      </c>
      <c r="G119" s="20" t="s">
        <v>325</v>
      </c>
      <c r="H119" s="21">
        <v>4.3</v>
      </c>
      <c r="I119" s="21">
        <v>15</v>
      </c>
      <c r="J119" s="20" t="s">
        <v>325</v>
      </c>
      <c r="K119" s="20" t="s">
        <v>613</v>
      </c>
      <c r="L119" s="20" t="s">
        <v>621</v>
      </c>
      <c r="M119" s="20" t="s">
        <v>623</v>
      </c>
      <c r="N119" s="20" t="s">
        <v>623</v>
      </c>
      <c r="O119" s="21">
        <v>0.96</v>
      </c>
    </row>
    <row r="120" spans="1:15" ht="14.4">
      <c r="A120" s="21">
        <v>237</v>
      </c>
      <c r="B120" s="20" t="s">
        <v>13</v>
      </c>
      <c r="C120" s="20" t="s">
        <v>481</v>
      </c>
      <c r="D120" s="20" t="s">
        <v>611</v>
      </c>
      <c r="E120" s="21">
        <v>9934802080</v>
      </c>
      <c r="F120" s="19" t="s">
        <v>487</v>
      </c>
      <c r="G120" s="20" t="s">
        <v>61</v>
      </c>
      <c r="H120" s="21">
        <v>4.3</v>
      </c>
      <c r="I120" s="21">
        <v>28</v>
      </c>
      <c r="J120" s="20" t="s">
        <v>61</v>
      </c>
      <c r="K120" s="20" t="s">
        <v>610</v>
      </c>
      <c r="L120" s="20" t="s">
        <v>621</v>
      </c>
      <c r="M120" s="20" t="s">
        <v>623</v>
      </c>
      <c r="N120" s="20" t="s">
        <v>623</v>
      </c>
      <c r="O120" s="21">
        <v>0.95</v>
      </c>
    </row>
    <row r="121" spans="1:15" ht="14.4">
      <c r="A121" s="21">
        <v>238</v>
      </c>
      <c r="B121" s="20" t="s">
        <v>13</v>
      </c>
      <c r="C121" s="20" t="s">
        <v>481</v>
      </c>
      <c r="D121" s="20" t="s">
        <v>488</v>
      </c>
      <c r="E121" s="21">
        <v>9334299958</v>
      </c>
      <c r="F121" s="19" t="s">
        <v>489</v>
      </c>
      <c r="G121" s="20" t="s">
        <v>61</v>
      </c>
      <c r="H121" s="21">
        <v>5</v>
      </c>
      <c r="I121" s="21">
        <v>23</v>
      </c>
      <c r="J121" s="20" t="s">
        <v>61</v>
      </c>
      <c r="K121" s="20" t="s">
        <v>610</v>
      </c>
      <c r="L121" s="20" t="s">
        <v>621</v>
      </c>
      <c r="M121" s="20" t="s">
        <v>623</v>
      </c>
      <c r="N121" s="20" t="s">
        <v>623</v>
      </c>
      <c r="O121" s="21">
        <v>0.99</v>
      </c>
    </row>
    <row r="122" spans="1:15" ht="14.4">
      <c r="A122" s="21">
        <v>240</v>
      </c>
      <c r="B122" s="20" t="s">
        <v>13</v>
      </c>
      <c r="C122" s="20" t="s">
        <v>481</v>
      </c>
      <c r="D122" s="20" t="s">
        <v>492</v>
      </c>
      <c r="E122" s="21">
        <v>8084540455</v>
      </c>
      <c r="F122" s="19" t="s">
        <v>493</v>
      </c>
      <c r="G122" s="20" t="s">
        <v>61</v>
      </c>
      <c r="H122" s="21">
        <v>4.5</v>
      </c>
      <c r="I122" s="21">
        <v>21</v>
      </c>
      <c r="J122" s="20" t="s">
        <v>61</v>
      </c>
      <c r="K122" s="20" t="s">
        <v>610</v>
      </c>
      <c r="L122" s="20" t="s">
        <v>621</v>
      </c>
      <c r="M122" s="20" t="s">
        <v>623</v>
      </c>
      <c r="N122" s="20" t="s">
        <v>623</v>
      </c>
      <c r="O122" s="21">
        <v>1</v>
      </c>
    </row>
    <row r="123" spans="1:15" ht="14.4">
      <c r="A123" s="21">
        <v>241</v>
      </c>
      <c r="B123" s="20" t="s">
        <v>13</v>
      </c>
      <c r="C123" s="20" t="s">
        <v>481</v>
      </c>
      <c r="D123" s="20" t="s">
        <v>494</v>
      </c>
      <c r="E123" s="21">
        <v>8102224151</v>
      </c>
      <c r="F123" s="19" t="s">
        <v>495</v>
      </c>
      <c r="G123" s="20" t="s">
        <v>61</v>
      </c>
      <c r="H123" s="21">
        <v>4.3</v>
      </c>
      <c r="I123" s="21">
        <v>18</v>
      </c>
      <c r="J123" s="20" t="s">
        <v>61</v>
      </c>
      <c r="K123" s="20" t="s">
        <v>610</v>
      </c>
      <c r="L123" s="20" t="s">
        <v>621</v>
      </c>
      <c r="M123" s="20" t="s">
        <v>623</v>
      </c>
      <c r="N123" s="20" t="s">
        <v>623</v>
      </c>
      <c r="O123" s="21">
        <v>0.97</v>
      </c>
    </row>
    <row r="124" spans="1:15" ht="14.4">
      <c r="A124" s="21">
        <v>242</v>
      </c>
      <c r="B124" s="20" t="s">
        <v>13</v>
      </c>
      <c r="C124" s="20" t="s">
        <v>481</v>
      </c>
      <c r="D124" s="20" t="s">
        <v>496</v>
      </c>
      <c r="E124" s="21">
        <v>9939250484</v>
      </c>
      <c r="F124" s="19" t="s">
        <v>497</v>
      </c>
      <c r="G124" s="20" t="s">
        <v>61</v>
      </c>
      <c r="H124" s="21">
        <v>4.8</v>
      </c>
      <c r="I124" s="21">
        <v>9</v>
      </c>
      <c r="J124" s="20" t="s">
        <v>61</v>
      </c>
      <c r="K124" s="20" t="s">
        <v>610</v>
      </c>
      <c r="L124" s="20" t="s">
        <v>621</v>
      </c>
      <c r="M124" s="20" t="s">
        <v>623</v>
      </c>
      <c r="N124" s="20" t="s">
        <v>623</v>
      </c>
      <c r="O124" s="21">
        <v>0.99</v>
      </c>
    </row>
    <row r="125" spans="1:15" ht="14.4">
      <c r="A125" s="21">
        <v>250</v>
      </c>
      <c r="B125" s="20" t="s">
        <v>25</v>
      </c>
      <c r="C125" s="20" t="s">
        <v>26</v>
      </c>
      <c r="D125" s="20" t="s">
        <v>512</v>
      </c>
      <c r="E125" s="21">
        <v>12126747341</v>
      </c>
      <c r="F125" s="19" t="s">
        <v>513</v>
      </c>
      <c r="G125" s="20" t="s">
        <v>242</v>
      </c>
      <c r="H125" s="21">
        <v>4.0999999999999996</v>
      </c>
      <c r="I125" s="21">
        <v>172</v>
      </c>
      <c r="J125" s="20" t="s">
        <v>242</v>
      </c>
      <c r="K125" s="20" t="s">
        <v>613</v>
      </c>
      <c r="L125" s="20" t="s">
        <v>621</v>
      </c>
      <c r="M125" s="20" t="s">
        <v>623</v>
      </c>
      <c r="N125" s="20" t="s">
        <v>623</v>
      </c>
      <c r="O125" s="21">
        <v>0.98</v>
      </c>
    </row>
    <row r="126" spans="1:15" ht="14.4">
      <c r="A126" s="21">
        <v>251</v>
      </c>
      <c r="B126" s="20" t="s">
        <v>25</v>
      </c>
      <c r="C126" s="20" t="s">
        <v>26</v>
      </c>
      <c r="D126" s="20" t="s">
        <v>514</v>
      </c>
      <c r="E126" s="21">
        <v>12124774654</v>
      </c>
      <c r="F126" s="19" t="s">
        <v>515</v>
      </c>
      <c r="G126" s="20" t="s">
        <v>242</v>
      </c>
      <c r="H126" s="21">
        <v>4.9000000000000004</v>
      </c>
      <c r="I126" s="21">
        <v>25</v>
      </c>
      <c r="J126" s="20" t="s">
        <v>242</v>
      </c>
      <c r="K126" s="20" t="s">
        <v>613</v>
      </c>
      <c r="L126" s="20" t="s">
        <v>621</v>
      </c>
      <c r="M126" s="20" t="s">
        <v>623</v>
      </c>
      <c r="N126" s="20" t="s">
        <v>623</v>
      </c>
      <c r="O126" s="21">
        <v>0.99</v>
      </c>
    </row>
    <row r="127" spans="1:15" ht="14.4">
      <c r="A127" s="21">
        <v>252</v>
      </c>
      <c r="B127" s="20" t="s">
        <v>25</v>
      </c>
      <c r="C127" s="20" t="s">
        <v>26</v>
      </c>
      <c r="D127" s="20" t="s">
        <v>516</v>
      </c>
      <c r="E127" s="21">
        <v>19179383985</v>
      </c>
      <c r="F127" s="19" t="s">
        <v>517</v>
      </c>
      <c r="G127" s="20" t="s">
        <v>242</v>
      </c>
      <c r="H127" s="21">
        <v>4.5</v>
      </c>
      <c r="I127" s="21">
        <v>51</v>
      </c>
      <c r="J127" s="20" t="s">
        <v>242</v>
      </c>
      <c r="K127" s="20" t="s">
        <v>613</v>
      </c>
      <c r="L127" s="20" t="s">
        <v>621</v>
      </c>
      <c r="M127" s="20" t="s">
        <v>623</v>
      </c>
      <c r="N127" s="20" t="s">
        <v>623</v>
      </c>
      <c r="O127" s="21">
        <v>0.96</v>
      </c>
    </row>
    <row r="128" spans="1:15" ht="14.4">
      <c r="A128" s="21">
        <v>253</v>
      </c>
      <c r="B128" s="20" t="s">
        <v>25</v>
      </c>
      <c r="C128" s="20" t="s">
        <v>26</v>
      </c>
      <c r="D128" s="20" t="s">
        <v>518</v>
      </c>
      <c r="E128" s="21">
        <v>12122283986</v>
      </c>
      <c r="F128" s="19" t="s">
        <v>519</v>
      </c>
      <c r="G128" s="20" t="s">
        <v>242</v>
      </c>
      <c r="H128" s="21">
        <v>4.5999999999999996</v>
      </c>
      <c r="I128" s="21">
        <v>33</v>
      </c>
      <c r="J128" s="20" t="s">
        <v>242</v>
      </c>
      <c r="K128" s="20" t="s">
        <v>613</v>
      </c>
      <c r="L128" s="20" t="s">
        <v>621</v>
      </c>
      <c r="M128" s="20" t="s">
        <v>623</v>
      </c>
      <c r="N128" s="20" t="s">
        <v>623</v>
      </c>
      <c r="O128" s="21">
        <v>1</v>
      </c>
    </row>
    <row r="129" spans="1:15" ht="14.4">
      <c r="A129" s="21">
        <v>254</v>
      </c>
      <c r="B129" s="20" t="s">
        <v>25</v>
      </c>
      <c r="C129" s="20" t="s">
        <v>26</v>
      </c>
      <c r="D129" s="20" t="s">
        <v>520</v>
      </c>
      <c r="E129" s="21">
        <v>16462718905</v>
      </c>
      <c r="F129" s="19" t="s">
        <v>521</v>
      </c>
      <c r="G129" s="20" t="s">
        <v>242</v>
      </c>
      <c r="H129" s="21">
        <v>4.5</v>
      </c>
      <c r="I129" s="21">
        <v>71</v>
      </c>
      <c r="J129" s="20" t="s">
        <v>242</v>
      </c>
      <c r="K129" s="20" t="s">
        <v>613</v>
      </c>
      <c r="L129" s="20" t="s">
        <v>621</v>
      </c>
      <c r="M129" s="20" t="s">
        <v>623</v>
      </c>
      <c r="N129" s="20" t="s">
        <v>623</v>
      </c>
      <c r="O129" s="21">
        <v>1</v>
      </c>
    </row>
    <row r="130" spans="1:15" ht="14.4">
      <c r="A130" s="21">
        <v>257</v>
      </c>
      <c r="B130" s="20" t="s">
        <v>13</v>
      </c>
      <c r="C130" s="20" t="s">
        <v>481</v>
      </c>
      <c r="D130" s="20" t="s">
        <v>526</v>
      </c>
      <c r="E130" s="21">
        <v>9334083440</v>
      </c>
      <c r="F130" s="19" t="s">
        <v>527</v>
      </c>
      <c r="G130" s="20" t="s">
        <v>61</v>
      </c>
      <c r="H130" s="21">
        <v>4.5</v>
      </c>
      <c r="I130" s="21">
        <v>27</v>
      </c>
      <c r="J130" s="20" t="s">
        <v>61</v>
      </c>
      <c r="K130" s="20" t="s">
        <v>610</v>
      </c>
      <c r="L130" s="20" t="s">
        <v>621</v>
      </c>
      <c r="M130" s="20" t="s">
        <v>623</v>
      </c>
      <c r="N130" s="20" t="s">
        <v>623</v>
      </c>
      <c r="O130" s="21">
        <v>1</v>
      </c>
    </row>
    <row r="131" spans="1:15" ht="14.4">
      <c r="A131" s="21">
        <v>262</v>
      </c>
      <c r="B131" s="20" t="s">
        <v>13</v>
      </c>
      <c r="C131" s="20" t="s">
        <v>481</v>
      </c>
      <c r="D131" s="20" t="s">
        <v>536</v>
      </c>
      <c r="E131" s="21">
        <v>8434744899</v>
      </c>
      <c r="F131" s="19" t="s">
        <v>537</v>
      </c>
      <c r="G131" s="20" t="s">
        <v>61</v>
      </c>
      <c r="H131" s="21">
        <v>4.8</v>
      </c>
      <c r="I131" s="21">
        <v>23</v>
      </c>
      <c r="J131" s="20" t="s">
        <v>61</v>
      </c>
      <c r="K131" s="20" t="s">
        <v>610</v>
      </c>
      <c r="L131" s="20" t="s">
        <v>621</v>
      </c>
      <c r="M131" s="20" t="s">
        <v>623</v>
      </c>
      <c r="N131" s="20" t="s">
        <v>623</v>
      </c>
      <c r="O131" s="21">
        <v>1</v>
      </c>
    </row>
    <row r="132" spans="1:15" ht="14.4">
      <c r="A132" s="21">
        <v>264</v>
      </c>
      <c r="B132" s="20" t="s">
        <v>13</v>
      </c>
      <c r="C132" s="20" t="s">
        <v>481</v>
      </c>
      <c r="D132" s="20" t="s">
        <v>540</v>
      </c>
      <c r="E132" s="21">
        <v>9771407251</v>
      </c>
      <c r="F132" s="19" t="s">
        <v>541</v>
      </c>
      <c r="G132" s="20" t="s">
        <v>61</v>
      </c>
      <c r="H132" s="21">
        <v>4.7</v>
      </c>
      <c r="I132" s="21">
        <v>12</v>
      </c>
      <c r="J132" s="20" t="s">
        <v>61</v>
      </c>
      <c r="K132" s="20" t="s">
        <v>610</v>
      </c>
      <c r="L132" s="20" t="s">
        <v>621</v>
      </c>
      <c r="M132" s="20" t="s">
        <v>623</v>
      </c>
      <c r="N132" s="20" t="s">
        <v>623</v>
      </c>
      <c r="O132" s="21">
        <v>0.73</v>
      </c>
    </row>
    <row r="133" spans="1:15" ht="14.4">
      <c r="A133" s="21">
        <v>265</v>
      </c>
      <c r="B133" s="20" t="s">
        <v>13</v>
      </c>
      <c r="C133" s="20" t="s">
        <v>481</v>
      </c>
      <c r="D133" s="20" t="s">
        <v>542</v>
      </c>
      <c r="E133" s="21">
        <v>8340499972</v>
      </c>
      <c r="F133" s="19" t="s">
        <v>543</v>
      </c>
      <c r="G133" s="20" t="s">
        <v>61</v>
      </c>
      <c r="H133" s="21">
        <v>4.2</v>
      </c>
      <c r="I133" s="21">
        <v>36</v>
      </c>
      <c r="J133" s="20" t="s">
        <v>61</v>
      </c>
      <c r="K133" s="20" t="s">
        <v>610</v>
      </c>
      <c r="L133" s="20" t="s">
        <v>621</v>
      </c>
      <c r="M133" s="20" t="s">
        <v>623</v>
      </c>
      <c r="N133" s="20" t="s">
        <v>623</v>
      </c>
      <c r="O133" s="21">
        <v>0.98</v>
      </c>
    </row>
    <row r="134" spans="1:15" ht="14.4">
      <c r="A134" s="21">
        <v>266</v>
      </c>
      <c r="B134" s="20" t="s">
        <v>13</v>
      </c>
      <c r="C134" s="20" t="s">
        <v>481</v>
      </c>
      <c r="D134" s="20" t="s">
        <v>544</v>
      </c>
      <c r="E134" s="21">
        <v>9431493121</v>
      </c>
      <c r="F134" s="19" t="s">
        <v>545</v>
      </c>
      <c r="G134" s="20" t="s">
        <v>61</v>
      </c>
      <c r="H134" s="21">
        <v>4.3</v>
      </c>
      <c r="I134" s="21">
        <v>16</v>
      </c>
      <c r="J134" s="20" t="s">
        <v>61</v>
      </c>
      <c r="K134" s="20" t="s">
        <v>610</v>
      </c>
      <c r="L134" s="20" t="s">
        <v>621</v>
      </c>
      <c r="M134" s="20" t="s">
        <v>623</v>
      </c>
      <c r="N134" s="20" t="s">
        <v>623</v>
      </c>
      <c r="O134" s="21">
        <v>0.94</v>
      </c>
    </row>
    <row r="135" spans="1:15" ht="14.4">
      <c r="A135" s="21">
        <v>267</v>
      </c>
      <c r="B135" s="20" t="s">
        <v>13</v>
      </c>
      <c r="C135" s="20" t="s">
        <v>481</v>
      </c>
      <c r="D135" s="20" t="s">
        <v>546</v>
      </c>
      <c r="E135" s="21">
        <v>6201374184</v>
      </c>
      <c r="F135" s="19" t="s">
        <v>547</v>
      </c>
      <c r="G135" s="20" t="s">
        <v>61</v>
      </c>
      <c r="H135" s="21">
        <v>4.7</v>
      </c>
      <c r="I135" s="21">
        <v>14</v>
      </c>
      <c r="J135" s="20" t="s">
        <v>61</v>
      </c>
      <c r="K135" s="20" t="s">
        <v>610</v>
      </c>
      <c r="L135" s="20" t="s">
        <v>621</v>
      </c>
      <c r="M135" s="20" t="s">
        <v>623</v>
      </c>
      <c r="N135" s="20" t="s">
        <v>623</v>
      </c>
      <c r="O135" s="21">
        <v>0.68</v>
      </c>
    </row>
    <row r="136" spans="1:15" ht="14.4">
      <c r="A136" s="21">
        <v>268</v>
      </c>
      <c r="B136" s="20" t="s">
        <v>13</v>
      </c>
      <c r="C136" s="20" t="s">
        <v>481</v>
      </c>
      <c r="D136" s="20" t="s">
        <v>548</v>
      </c>
      <c r="E136" s="21">
        <v>7992310993</v>
      </c>
      <c r="F136" s="19" t="s">
        <v>549</v>
      </c>
      <c r="G136" s="20" t="s">
        <v>61</v>
      </c>
      <c r="H136" s="21">
        <v>4.8</v>
      </c>
      <c r="I136" s="21">
        <v>4</v>
      </c>
      <c r="J136" s="20" t="s">
        <v>61</v>
      </c>
      <c r="K136" s="20" t="s">
        <v>610</v>
      </c>
      <c r="L136" s="20" t="s">
        <v>621</v>
      </c>
      <c r="M136" s="20" t="s">
        <v>623</v>
      </c>
      <c r="N136" s="20" t="s">
        <v>623</v>
      </c>
      <c r="O136" s="21">
        <v>0.99</v>
      </c>
    </row>
    <row r="137" spans="1:15" ht="14.4">
      <c r="A137" s="21">
        <v>269</v>
      </c>
      <c r="B137" s="20" t="s">
        <v>13</v>
      </c>
      <c r="C137" s="20" t="s">
        <v>481</v>
      </c>
      <c r="D137" s="20" t="s">
        <v>550</v>
      </c>
      <c r="E137" s="21">
        <v>9693204765</v>
      </c>
      <c r="F137" s="19" t="s">
        <v>551</v>
      </c>
      <c r="G137" s="20" t="s">
        <v>61</v>
      </c>
      <c r="H137" s="21">
        <v>3.8</v>
      </c>
      <c r="I137" s="21">
        <v>63</v>
      </c>
      <c r="J137" s="20" t="s">
        <v>61</v>
      </c>
      <c r="K137" s="20" t="s">
        <v>610</v>
      </c>
      <c r="L137" s="20" t="s">
        <v>621</v>
      </c>
      <c r="M137" s="20" t="s">
        <v>624</v>
      </c>
      <c r="N137" s="20" t="s">
        <v>623</v>
      </c>
      <c r="O137" s="21">
        <v>0.55000000000000004</v>
      </c>
    </row>
    <row r="138" spans="1:15" ht="14.4">
      <c r="A138" s="21">
        <v>270</v>
      </c>
      <c r="B138" s="20" t="s">
        <v>25</v>
      </c>
      <c r="C138" s="20" t="s">
        <v>26</v>
      </c>
      <c r="D138" s="20" t="s">
        <v>552</v>
      </c>
      <c r="E138" s="21">
        <v>12122541151</v>
      </c>
      <c r="F138" s="19" t="s">
        <v>553</v>
      </c>
      <c r="G138" s="20" t="s">
        <v>242</v>
      </c>
      <c r="H138" s="21">
        <v>4.5</v>
      </c>
      <c r="I138" s="21">
        <v>82</v>
      </c>
      <c r="J138" s="20" t="s">
        <v>242</v>
      </c>
      <c r="K138" s="20" t="s">
        <v>613</v>
      </c>
      <c r="L138" s="20" t="s">
        <v>621</v>
      </c>
      <c r="M138" s="20" t="s">
        <v>623</v>
      </c>
      <c r="N138" s="20" t="s">
        <v>623</v>
      </c>
      <c r="O138" s="21">
        <v>1</v>
      </c>
    </row>
    <row r="139" spans="1:15" ht="14.4">
      <c r="A139" s="21">
        <v>271</v>
      </c>
      <c r="B139" s="20" t="s">
        <v>25</v>
      </c>
      <c r="C139" s="20" t="s">
        <v>26</v>
      </c>
      <c r="D139" s="20" t="s">
        <v>554</v>
      </c>
      <c r="E139" s="21">
        <v>12128976543</v>
      </c>
      <c r="F139" s="19" t="s">
        <v>555</v>
      </c>
      <c r="G139" s="20" t="s">
        <v>242</v>
      </c>
      <c r="H139" s="21">
        <v>4.5999999999999996</v>
      </c>
      <c r="I139" s="21">
        <v>58</v>
      </c>
      <c r="J139" s="20" t="s">
        <v>242</v>
      </c>
      <c r="K139" s="20" t="s">
        <v>613</v>
      </c>
      <c r="L139" s="20" t="s">
        <v>621</v>
      </c>
      <c r="M139" s="20" t="s">
        <v>623</v>
      </c>
      <c r="N139" s="20" t="s">
        <v>623</v>
      </c>
      <c r="O139" s="21">
        <v>0.95</v>
      </c>
    </row>
    <row r="140" spans="1:15" ht="14.4">
      <c r="A140" s="21">
        <v>272</v>
      </c>
      <c r="B140" s="20" t="s">
        <v>25</v>
      </c>
      <c r="C140" s="20" t="s">
        <v>26</v>
      </c>
      <c r="D140" s="20" t="s">
        <v>556</v>
      </c>
      <c r="E140" s="21">
        <v>12127361167</v>
      </c>
      <c r="F140" s="19" t="s">
        <v>557</v>
      </c>
      <c r="G140" s="20" t="s">
        <v>242</v>
      </c>
      <c r="H140" s="21">
        <v>4.5999999999999996</v>
      </c>
      <c r="I140" s="21">
        <v>85</v>
      </c>
      <c r="J140" s="20" t="s">
        <v>242</v>
      </c>
      <c r="K140" s="20" t="s">
        <v>613</v>
      </c>
      <c r="L140" s="20" t="s">
        <v>621</v>
      </c>
      <c r="M140" s="20" t="s">
        <v>623</v>
      </c>
      <c r="N140" s="20" t="s">
        <v>623</v>
      </c>
      <c r="O140" s="21">
        <v>0.95</v>
      </c>
    </row>
    <row r="141" spans="1:15" ht="14.4">
      <c r="A141" s="21">
        <v>273</v>
      </c>
      <c r="B141" s="20" t="s">
        <v>25</v>
      </c>
      <c r="C141" s="20" t="s">
        <v>26</v>
      </c>
      <c r="D141" s="20" t="s">
        <v>558</v>
      </c>
      <c r="E141" s="21">
        <v>12129673493</v>
      </c>
      <c r="F141" s="19" t="s">
        <v>559</v>
      </c>
      <c r="G141" s="20" t="s">
        <v>242</v>
      </c>
      <c r="H141" s="21">
        <v>5</v>
      </c>
      <c r="I141" s="21">
        <v>10</v>
      </c>
      <c r="J141" s="20" t="s">
        <v>242</v>
      </c>
      <c r="K141" s="20" t="s">
        <v>613</v>
      </c>
      <c r="L141" s="20" t="s">
        <v>621</v>
      </c>
      <c r="M141" s="20" t="s">
        <v>623</v>
      </c>
      <c r="N141" s="20" t="s">
        <v>623</v>
      </c>
      <c r="O141" s="21">
        <v>1</v>
      </c>
    </row>
    <row r="142" spans="1:15" ht="14.4">
      <c r="A142" s="21">
        <v>274</v>
      </c>
      <c r="B142" s="20" t="s">
        <v>25</v>
      </c>
      <c r="C142" s="20" t="s">
        <v>26</v>
      </c>
      <c r="D142" s="20" t="s">
        <v>560</v>
      </c>
      <c r="E142" s="21">
        <v>13477931429</v>
      </c>
      <c r="F142" s="19" t="s">
        <v>561</v>
      </c>
      <c r="G142" s="20" t="s">
        <v>242</v>
      </c>
      <c r="H142" s="21">
        <v>4.7</v>
      </c>
      <c r="I142" s="21">
        <v>69</v>
      </c>
      <c r="J142" s="20" t="s">
        <v>242</v>
      </c>
      <c r="K142" s="20" t="s">
        <v>613</v>
      </c>
      <c r="L142" s="20" t="s">
        <v>621</v>
      </c>
      <c r="M142" s="20" t="s">
        <v>623</v>
      </c>
      <c r="N142" s="20" t="s">
        <v>623</v>
      </c>
      <c r="O142" s="21">
        <v>0.99</v>
      </c>
    </row>
    <row r="143" spans="1:15" ht="14.4">
      <c r="A143" s="21">
        <v>279</v>
      </c>
      <c r="B143" s="20" t="s">
        <v>13</v>
      </c>
      <c r="C143" s="20" t="s">
        <v>481</v>
      </c>
      <c r="D143" s="20" t="s">
        <v>570</v>
      </c>
      <c r="E143" s="21">
        <v>7541811717</v>
      </c>
      <c r="F143" s="19" t="s">
        <v>571</v>
      </c>
      <c r="G143" s="20" t="s">
        <v>61</v>
      </c>
      <c r="H143" s="21">
        <v>5</v>
      </c>
      <c r="I143" s="21">
        <v>2</v>
      </c>
      <c r="J143" s="20" t="s">
        <v>61</v>
      </c>
      <c r="K143" s="20" t="s">
        <v>610</v>
      </c>
      <c r="L143" s="20" t="s">
        <v>621</v>
      </c>
      <c r="M143" s="20" t="s">
        <v>623</v>
      </c>
      <c r="N143" s="20" t="s">
        <v>623</v>
      </c>
      <c r="O143" s="21">
        <v>1</v>
      </c>
    </row>
    <row r="144" spans="1:15" ht="14.4">
      <c r="A144" s="21">
        <v>280</v>
      </c>
      <c r="B144" s="20" t="s">
        <v>13</v>
      </c>
      <c r="C144" s="20" t="s">
        <v>481</v>
      </c>
      <c r="D144" s="20" t="s">
        <v>572</v>
      </c>
      <c r="E144" s="21">
        <v>7903638039</v>
      </c>
      <c r="F144" s="19" t="s">
        <v>573</v>
      </c>
      <c r="G144" s="20" t="s">
        <v>61</v>
      </c>
      <c r="H144" s="21">
        <v>4.8</v>
      </c>
      <c r="I144" s="21">
        <v>5</v>
      </c>
      <c r="J144" s="20" t="s">
        <v>61</v>
      </c>
      <c r="K144" s="20" t="s">
        <v>610</v>
      </c>
      <c r="L144" s="20" t="s">
        <v>621</v>
      </c>
      <c r="M144" s="20" t="s">
        <v>623</v>
      </c>
      <c r="N144" s="20" t="s">
        <v>623</v>
      </c>
      <c r="O144" s="21">
        <v>1</v>
      </c>
    </row>
    <row r="145" spans="1:15" ht="14.4">
      <c r="A145" s="21">
        <v>281</v>
      </c>
      <c r="B145" s="20" t="s">
        <v>13</v>
      </c>
      <c r="C145" s="20" t="s">
        <v>481</v>
      </c>
      <c r="D145" s="20" t="s">
        <v>574</v>
      </c>
      <c r="E145" s="21">
        <v>7209642334</v>
      </c>
      <c r="F145" s="19" t="s">
        <v>575</v>
      </c>
      <c r="G145" s="20" t="s">
        <v>61</v>
      </c>
      <c r="H145" s="21">
        <v>4.9000000000000004</v>
      </c>
      <c r="I145" s="21">
        <v>24</v>
      </c>
      <c r="J145" s="20" t="s">
        <v>61</v>
      </c>
      <c r="K145" s="20" t="s">
        <v>610</v>
      </c>
      <c r="L145" s="20" t="s">
        <v>621</v>
      </c>
      <c r="M145" s="20" t="s">
        <v>623</v>
      </c>
      <c r="N145" s="20" t="s">
        <v>623</v>
      </c>
      <c r="O145" s="21">
        <v>1</v>
      </c>
    </row>
    <row r="146" spans="1:15" ht="14.4">
      <c r="A146" s="21">
        <v>282</v>
      </c>
      <c r="B146" s="20" t="s">
        <v>13</v>
      </c>
      <c r="C146" s="20" t="s">
        <v>481</v>
      </c>
      <c r="D146" s="20" t="s">
        <v>576</v>
      </c>
      <c r="E146" s="21">
        <v>6203186077</v>
      </c>
      <c r="F146" s="19" t="s">
        <v>577</v>
      </c>
      <c r="G146" s="20" t="s">
        <v>61</v>
      </c>
      <c r="H146" s="21">
        <v>4.5999999999999996</v>
      </c>
      <c r="I146" s="21">
        <v>25</v>
      </c>
      <c r="J146" s="20" t="s">
        <v>61</v>
      </c>
      <c r="K146" s="20" t="s">
        <v>610</v>
      </c>
      <c r="L146" s="20" t="s">
        <v>621</v>
      </c>
      <c r="M146" s="20" t="s">
        <v>623</v>
      </c>
      <c r="N146" s="20" t="s">
        <v>623</v>
      </c>
      <c r="O146" s="21">
        <v>0.99</v>
      </c>
    </row>
    <row r="147" spans="1:15" ht="14.4">
      <c r="A147" s="21">
        <v>284</v>
      </c>
      <c r="B147" s="20" t="s">
        <v>13</v>
      </c>
      <c r="C147" s="20" t="s">
        <v>481</v>
      </c>
      <c r="D147" s="20" t="s">
        <v>580</v>
      </c>
      <c r="E147" s="21">
        <v>9534438460</v>
      </c>
      <c r="F147" s="19" t="s">
        <v>581</v>
      </c>
      <c r="G147" s="20" t="s">
        <v>61</v>
      </c>
      <c r="H147" s="21">
        <v>4.5999999999999996</v>
      </c>
      <c r="I147" s="21">
        <v>16</v>
      </c>
      <c r="J147" s="20" t="s">
        <v>61</v>
      </c>
      <c r="K147" s="20" t="s">
        <v>610</v>
      </c>
      <c r="L147" s="20" t="s">
        <v>621</v>
      </c>
      <c r="M147" s="20" t="s">
        <v>623</v>
      </c>
      <c r="N147" s="20" t="s">
        <v>623</v>
      </c>
      <c r="O147" s="21">
        <v>0.99</v>
      </c>
    </row>
    <row r="148" spans="1:15" ht="14.4">
      <c r="A148" s="21">
        <v>287</v>
      </c>
      <c r="B148" s="20" t="s">
        <v>13</v>
      </c>
      <c r="C148" s="20" t="s">
        <v>481</v>
      </c>
      <c r="D148" s="20" t="s">
        <v>586</v>
      </c>
      <c r="E148" s="21">
        <v>6122300915</v>
      </c>
      <c r="F148" s="19" t="s">
        <v>587</v>
      </c>
      <c r="G148" s="20" t="s">
        <v>61</v>
      </c>
      <c r="H148" s="21">
        <v>5</v>
      </c>
      <c r="I148" s="21">
        <v>2</v>
      </c>
      <c r="J148" s="20" t="s">
        <v>61</v>
      </c>
      <c r="K148" s="20" t="s">
        <v>610</v>
      </c>
      <c r="L148" s="20" t="s">
        <v>621</v>
      </c>
      <c r="M148" s="20" t="s">
        <v>623</v>
      </c>
      <c r="N148" s="20" t="s">
        <v>623</v>
      </c>
      <c r="O148" s="21">
        <v>1</v>
      </c>
    </row>
    <row r="149" spans="1:15" ht="14.4">
      <c r="A149" s="21">
        <v>288</v>
      </c>
      <c r="B149" s="20" t="s">
        <v>25</v>
      </c>
      <c r="C149" s="20" t="s">
        <v>26</v>
      </c>
      <c r="D149" s="20" t="s">
        <v>588</v>
      </c>
      <c r="E149" s="21">
        <v>12128401871</v>
      </c>
      <c r="F149" s="19" t="s">
        <v>589</v>
      </c>
      <c r="G149" s="20" t="s">
        <v>242</v>
      </c>
      <c r="H149" s="21">
        <v>4.4000000000000004</v>
      </c>
      <c r="I149" s="21">
        <v>69</v>
      </c>
      <c r="J149" s="20" t="s">
        <v>242</v>
      </c>
      <c r="K149" s="20" t="s">
        <v>613</v>
      </c>
      <c r="L149" s="20" t="s">
        <v>621</v>
      </c>
      <c r="M149" s="20" t="s">
        <v>623</v>
      </c>
      <c r="N149" s="20" t="s">
        <v>623</v>
      </c>
      <c r="O149" s="21">
        <v>1</v>
      </c>
    </row>
    <row r="150" spans="1:15" ht="14.4">
      <c r="A150" s="21">
        <v>292</v>
      </c>
      <c r="B150" s="20" t="s">
        <v>25</v>
      </c>
      <c r="C150" s="20" t="s">
        <v>26</v>
      </c>
      <c r="D150" s="20" t="s">
        <v>552</v>
      </c>
      <c r="E150" s="21">
        <v>12122541151</v>
      </c>
      <c r="F150" s="19" t="s">
        <v>596</v>
      </c>
      <c r="G150" s="20" t="s">
        <v>242</v>
      </c>
      <c r="H150" s="21">
        <v>4.5</v>
      </c>
      <c r="I150" s="21">
        <v>82</v>
      </c>
      <c r="J150" s="20" t="s">
        <v>242</v>
      </c>
      <c r="K150" s="20" t="s">
        <v>613</v>
      </c>
      <c r="L150" s="20" t="s">
        <v>621</v>
      </c>
      <c r="M150" s="20" t="s">
        <v>623</v>
      </c>
      <c r="N150" s="20" t="s">
        <v>623</v>
      </c>
      <c r="O150" s="21">
        <v>1</v>
      </c>
    </row>
    <row r="151" spans="1:15" ht="14.4">
      <c r="A151" s="21">
        <v>294</v>
      </c>
      <c r="B151" s="20" t="s">
        <v>13</v>
      </c>
      <c r="C151" s="20" t="s">
        <v>481</v>
      </c>
      <c r="D151" s="20" t="s">
        <v>599</v>
      </c>
      <c r="E151" s="21">
        <v>8617433071</v>
      </c>
      <c r="F151" s="19" t="s">
        <v>600</v>
      </c>
      <c r="G151" s="20" t="s">
        <v>61</v>
      </c>
      <c r="H151" s="21">
        <v>5</v>
      </c>
      <c r="I151" s="21">
        <v>1</v>
      </c>
      <c r="J151" s="20" t="s">
        <v>61</v>
      </c>
      <c r="K151" s="20" t="s">
        <v>610</v>
      </c>
      <c r="L151" s="20" t="s">
        <v>621</v>
      </c>
      <c r="M151" s="20" t="s">
        <v>623</v>
      </c>
      <c r="N151" s="20" t="s">
        <v>623</v>
      </c>
      <c r="O151" s="21">
        <v>1</v>
      </c>
    </row>
    <row r="152" spans="1:15" ht="14.4">
      <c r="A152" s="21">
        <v>296</v>
      </c>
      <c r="B152" s="20" t="s">
        <v>13</v>
      </c>
      <c r="C152" s="20" t="s">
        <v>481</v>
      </c>
      <c r="D152" s="20" t="s">
        <v>602</v>
      </c>
      <c r="E152" s="21">
        <v>8789822353</v>
      </c>
      <c r="F152" s="19" t="s">
        <v>603</v>
      </c>
      <c r="G152" s="20" t="s">
        <v>61</v>
      </c>
      <c r="H152" s="21">
        <v>5</v>
      </c>
      <c r="I152" s="21">
        <v>2</v>
      </c>
      <c r="J152" s="20" t="s">
        <v>61</v>
      </c>
      <c r="K152" s="20" t="s">
        <v>610</v>
      </c>
      <c r="L152" s="20" t="s">
        <v>621</v>
      </c>
      <c r="M152" s="20" t="s">
        <v>623</v>
      </c>
      <c r="N152" s="20" t="s">
        <v>623</v>
      </c>
      <c r="O152" s="21">
        <v>1</v>
      </c>
    </row>
    <row r="153" spans="1:15" ht="14.4">
      <c r="A153" s="21">
        <v>297</v>
      </c>
      <c r="B153" s="20" t="s">
        <v>13</v>
      </c>
      <c r="C153" s="20" t="s">
        <v>481</v>
      </c>
      <c r="D153" s="20" t="s">
        <v>604</v>
      </c>
      <c r="E153" s="21">
        <v>9386999603</v>
      </c>
      <c r="F153" s="19" t="s">
        <v>605</v>
      </c>
      <c r="G153" s="20" t="s">
        <v>61</v>
      </c>
      <c r="H153" s="21">
        <v>5</v>
      </c>
      <c r="I153" s="21">
        <v>2</v>
      </c>
      <c r="J153" s="20" t="s">
        <v>61</v>
      </c>
      <c r="K153" s="20" t="s">
        <v>610</v>
      </c>
      <c r="L153" s="20" t="s">
        <v>621</v>
      </c>
      <c r="M153" s="20" t="s">
        <v>623</v>
      </c>
      <c r="N153" s="20" t="s">
        <v>623</v>
      </c>
      <c r="O153" s="21">
        <v>1</v>
      </c>
    </row>
  </sheetData>
  <hyperlinks>
    <hyperlink ref="A1" r:id="rId1" xr:uid="{00000000-0004-0000-0500-000000000000}"/>
    <hyperlink ref="F2" r:id="rId2" xr:uid="{00000000-0004-0000-0500-000001000000}"/>
    <hyperlink ref="F3" r:id="rId3" xr:uid="{00000000-0004-0000-0500-000002000000}"/>
    <hyperlink ref="F4" r:id="rId4" xr:uid="{00000000-0004-0000-0500-000003000000}"/>
    <hyperlink ref="F5" r:id="rId5" xr:uid="{00000000-0004-0000-0500-000004000000}"/>
    <hyperlink ref="F6" r:id="rId6" xr:uid="{00000000-0004-0000-0500-000005000000}"/>
    <hyperlink ref="F7" r:id="rId7" xr:uid="{00000000-0004-0000-0500-000006000000}"/>
    <hyperlink ref="F8" r:id="rId8" xr:uid="{00000000-0004-0000-0500-000007000000}"/>
    <hyperlink ref="F9" r:id="rId9" xr:uid="{00000000-0004-0000-0500-000008000000}"/>
    <hyperlink ref="F10" r:id="rId10" xr:uid="{00000000-0004-0000-0500-000009000000}"/>
    <hyperlink ref="F11" r:id="rId11" xr:uid="{00000000-0004-0000-0500-00000A000000}"/>
    <hyperlink ref="F12" r:id="rId12" xr:uid="{00000000-0004-0000-0500-00000B000000}"/>
    <hyperlink ref="F13" r:id="rId13" xr:uid="{00000000-0004-0000-0500-00000C000000}"/>
    <hyperlink ref="F14" r:id="rId14" xr:uid="{00000000-0004-0000-0500-00000D000000}"/>
    <hyperlink ref="F15" r:id="rId15" xr:uid="{00000000-0004-0000-0500-00000E000000}"/>
    <hyperlink ref="F16" r:id="rId16" xr:uid="{00000000-0004-0000-0500-00000F000000}"/>
    <hyperlink ref="F17" r:id="rId17" xr:uid="{00000000-0004-0000-0500-000010000000}"/>
    <hyperlink ref="F18" r:id="rId18" xr:uid="{00000000-0004-0000-0500-000011000000}"/>
    <hyperlink ref="F19" r:id="rId19" xr:uid="{00000000-0004-0000-0500-000012000000}"/>
    <hyperlink ref="F20" r:id="rId20" xr:uid="{00000000-0004-0000-0500-000013000000}"/>
    <hyperlink ref="F21" r:id="rId21" xr:uid="{00000000-0004-0000-0500-000014000000}"/>
    <hyperlink ref="F22" r:id="rId22" xr:uid="{00000000-0004-0000-0500-000015000000}"/>
    <hyperlink ref="F23" r:id="rId23" xr:uid="{00000000-0004-0000-0500-000016000000}"/>
    <hyperlink ref="F24" r:id="rId24" xr:uid="{00000000-0004-0000-0500-000017000000}"/>
    <hyperlink ref="F25" r:id="rId25" xr:uid="{00000000-0004-0000-0500-000018000000}"/>
    <hyperlink ref="F26" r:id="rId26" xr:uid="{00000000-0004-0000-0500-000019000000}"/>
    <hyperlink ref="F27" r:id="rId27" xr:uid="{00000000-0004-0000-0500-00001A000000}"/>
    <hyperlink ref="F28" r:id="rId28" xr:uid="{00000000-0004-0000-0500-00001B000000}"/>
    <hyperlink ref="F29" r:id="rId29" xr:uid="{00000000-0004-0000-0500-00001C000000}"/>
    <hyperlink ref="F30" r:id="rId30" xr:uid="{00000000-0004-0000-0500-00001D000000}"/>
    <hyperlink ref="F31" r:id="rId31" xr:uid="{00000000-0004-0000-0500-00001E000000}"/>
    <hyperlink ref="F32" r:id="rId32" xr:uid="{00000000-0004-0000-0500-00001F000000}"/>
    <hyperlink ref="F33" r:id="rId33" xr:uid="{00000000-0004-0000-0500-000020000000}"/>
    <hyperlink ref="F34" r:id="rId34" xr:uid="{00000000-0004-0000-0500-000021000000}"/>
    <hyperlink ref="F35" r:id="rId35" xr:uid="{00000000-0004-0000-0500-000022000000}"/>
    <hyperlink ref="F36" r:id="rId36" xr:uid="{00000000-0004-0000-0500-000023000000}"/>
    <hyperlink ref="F37" r:id="rId37" xr:uid="{00000000-0004-0000-0500-000024000000}"/>
    <hyperlink ref="F38" r:id="rId38" xr:uid="{00000000-0004-0000-0500-000025000000}"/>
    <hyperlink ref="F39" r:id="rId39" xr:uid="{00000000-0004-0000-0500-000026000000}"/>
    <hyperlink ref="F40" r:id="rId40" xr:uid="{00000000-0004-0000-0500-000027000000}"/>
    <hyperlink ref="F41" r:id="rId41" xr:uid="{00000000-0004-0000-0500-000028000000}"/>
    <hyperlink ref="F42" r:id="rId42" xr:uid="{00000000-0004-0000-0500-000029000000}"/>
    <hyperlink ref="F43" r:id="rId43" xr:uid="{00000000-0004-0000-0500-00002A000000}"/>
    <hyperlink ref="F44" r:id="rId44" xr:uid="{00000000-0004-0000-0500-00002B000000}"/>
    <hyperlink ref="F45" r:id="rId45" xr:uid="{00000000-0004-0000-0500-00002C000000}"/>
    <hyperlink ref="F46" r:id="rId46" xr:uid="{00000000-0004-0000-0500-00002D000000}"/>
    <hyperlink ref="F47" r:id="rId47" xr:uid="{00000000-0004-0000-0500-00002E000000}"/>
    <hyperlink ref="F48" r:id="rId48" xr:uid="{00000000-0004-0000-0500-00002F000000}"/>
    <hyperlink ref="F49" r:id="rId49" xr:uid="{00000000-0004-0000-0500-000030000000}"/>
    <hyperlink ref="F50" r:id="rId50" xr:uid="{00000000-0004-0000-0500-000031000000}"/>
    <hyperlink ref="F51" r:id="rId51" xr:uid="{00000000-0004-0000-0500-000032000000}"/>
    <hyperlink ref="F52" r:id="rId52" xr:uid="{00000000-0004-0000-0500-000033000000}"/>
    <hyperlink ref="F53" r:id="rId53" xr:uid="{00000000-0004-0000-0500-000034000000}"/>
    <hyperlink ref="F54" r:id="rId54" xr:uid="{00000000-0004-0000-0500-000035000000}"/>
    <hyperlink ref="F55" r:id="rId55" xr:uid="{00000000-0004-0000-0500-000036000000}"/>
    <hyperlink ref="F56" r:id="rId56" xr:uid="{00000000-0004-0000-0500-000037000000}"/>
    <hyperlink ref="F57" r:id="rId57" xr:uid="{00000000-0004-0000-0500-000038000000}"/>
    <hyperlink ref="F58" r:id="rId58" xr:uid="{00000000-0004-0000-0500-000039000000}"/>
    <hyperlink ref="F59" r:id="rId59" xr:uid="{00000000-0004-0000-0500-00003A000000}"/>
    <hyperlink ref="F60" r:id="rId60" xr:uid="{00000000-0004-0000-0500-00003B000000}"/>
    <hyperlink ref="F61" r:id="rId61" xr:uid="{00000000-0004-0000-0500-00003C000000}"/>
    <hyperlink ref="F62" r:id="rId62" xr:uid="{00000000-0004-0000-0500-00003D000000}"/>
    <hyperlink ref="F63" r:id="rId63" xr:uid="{00000000-0004-0000-0500-00003E000000}"/>
    <hyperlink ref="F64" r:id="rId64" xr:uid="{00000000-0004-0000-0500-00003F000000}"/>
    <hyperlink ref="F65" r:id="rId65" xr:uid="{00000000-0004-0000-0500-000040000000}"/>
    <hyperlink ref="F66" r:id="rId66" xr:uid="{00000000-0004-0000-0500-000041000000}"/>
    <hyperlink ref="F67" r:id="rId67" xr:uid="{00000000-0004-0000-0500-000042000000}"/>
    <hyperlink ref="F68" r:id="rId68" xr:uid="{00000000-0004-0000-0500-000043000000}"/>
    <hyperlink ref="F69" r:id="rId69" xr:uid="{00000000-0004-0000-0500-000044000000}"/>
    <hyperlink ref="F70" r:id="rId70" xr:uid="{00000000-0004-0000-0500-000045000000}"/>
    <hyperlink ref="F71" r:id="rId71" xr:uid="{00000000-0004-0000-0500-000046000000}"/>
    <hyperlink ref="F72" r:id="rId72" xr:uid="{00000000-0004-0000-0500-000047000000}"/>
    <hyperlink ref="F73" r:id="rId73" xr:uid="{00000000-0004-0000-0500-000048000000}"/>
    <hyperlink ref="F74" r:id="rId74" xr:uid="{00000000-0004-0000-0500-000049000000}"/>
    <hyperlink ref="F75" r:id="rId75" xr:uid="{00000000-0004-0000-0500-00004A000000}"/>
    <hyperlink ref="F76" r:id="rId76" xr:uid="{00000000-0004-0000-0500-00004B000000}"/>
    <hyperlink ref="F77" r:id="rId77" xr:uid="{00000000-0004-0000-0500-00004C000000}"/>
    <hyperlink ref="F78" r:id="rId78" xr:uid="{00000000-0004-0000-0500-00004D000000}"/>
    <hyperlink ref="F79" r:id="rId79" xr:uid="{00000000-0004-0000-0500-00004E000000}"/>
    <hyperlink ref="F80" r:id="rId80" xr:uid="{00000000-0004-0000-0500-00004F000000}"/>
    <hyperlink ref="F81" r:id="rId81" xr:uid="{00000000-0004-0000-0500-000050000000}"/>
    <hyperlink ref="F82" r:id="rId82" xr:uid="{00000000-0004-0000-0500-000051000000}"/>
    <hyperlink ref="F83" r:id="rId83" xr:uid="{00000000-0004-0000-0500-000052000000}"/>
    <hyperlink ref="F84" r:id="rId84" xr:uid="{00000000-0004-0000-0500-000053000000}"/>
    <hyperlink ref="F85" r:id="rId85" xr:uid="{00000000-0004-0000-0500-000054000000}"/>
    <hyperlink ref="F86" r:id="rId86" xr:uid="{00000000-0004-0000-0500-000055000000}"/>
    <hyperlink ref="F87" r:id="rId87" xr:uid="{00000000-0004-0000-0500-000056000000}"/>
    <hyperlink ref="F88" r:id="rId88" xr:uid="{00000000-0004-0000-0500-000057000000}"/>
    <hyperlink ref="F89" r:id="rId89" xr:uid="{00000000-0004-0000-0500-000058000000}"/>
    <hyperlink ref="F90" r:id="rId90" xr:uid="{00000000-0004-0000-0500-000059000000}"/>
    <hyperlink ref="F91" r:id="rId91" xr:uid="{00000000-0004-0000-0500-00005A000000}"/>
    <hyperlink ref="F92" r:id="rId92" xr:uid="{00000000-0004-0000-0500-00005B000000}"/>
    <hyperlink ref="F93" r:id="rId93" xr:uid="{00000000-0004-0000-0500-00005C000000}"/>
    <hyperlink ref="F94" r:id="rId94" xr:uid="{00000000-0004-0000-0500-00005D000000}"/>
    <hyperlink ref="F95" r:id="rId95" xr:uid="{00000000-0004-0000-0500-00005E000000}"/>
    <hyperlink ref="F96" r:id="rId96" xr:uid="{00000000-0004-0000-0500-00005F000000}"/>
    <hyperlink ref="F97" r:id="rId97" xr:uid="{00000000-0004-0000-0500-000060000000}"/>
    <hyperlink ref="F98" r:id="rId98" xr:uid="{00000000-0004-0000-0500-000061000000}"/>
    <hyperlink ref="F99" r:id="rId99" xr:uid="{00000000-0004-0000-0500-000062000000}"/>
    <hyperlink ref="F100" r:id="rId100" xr:uid="{00000000-0004-0000-0500-000063000000}"/>
    <hyperlink ref="F101" r:id="rId101" xr:uid="{00000000-0004-0000-0500-000064000000}"/>
    <hyperlink ref="F102" r:id="rId102" xr:uid="{00000000-0004-0000-0500-000065000000}"/>
    <hyperlink ref="F103" r:id="rId103" xr:uid="{00000000-0004-0000-0500-000066000000}"/>
    <hyperlink ref="F104" r:id="rId104" xr:uid="{00000000-0004-0000-0500-000067000000}"/>
    <hyperlink ref="F105" r:id="rId105" xr:uid="{00000000-0004-0000-0500-000068000000}"/>
    <hyperlink ref="F106" r:id="rId106" xr:uid="{00000000-0004-0000-0500-000069000000}"/>
    <hyperlink ref="F107" r:id="rId107" xr:uid="{00000000-0004-0000-0500-00006A000000}"/>
    <hyperlink ref="F108" r:id="rId108" xr:uid="{00000000-0004-0000-0500-00006B000000}"/>
    <hyperlink ref="F109" r:id="rId109" xr:uid="{00000000-0004-0000-0500-00006C000000}"/>
    <hyperlink ref="F110" r:id="rId110" xr:uid="{00000000-0004-0000-0500-00006D000000}"/>
    <hyperlink ref="F111" r:id="rId111" xr:uid="{00000000-0004-0000-0500-00006E000000}"/>
    <hyperlink ref="F112" r:id="rId112" xr:uid="{00000000-0004-0000-0500-00006F000000}"/>
    <hyperlink ref="F113" r:id="rId113" xr:uid="{00000000-0004-0000-0500-000070000000}"/>
    <hyperlink ref="F114" r:id="rId114" xr:uid="{00000000-0004-0000-0500-000071000000}"/>
    <hyperlink ref="F115" r:id="rId115" xr:uid="{00000000-0004-0000-0500-000072000000}"/>
    <hyperlink ref="F116" r:id="rId116" xr:uid="{00000000-0004-0000-0500-000073000000}"/>
    <hyperlink ref="F117" r:id="rId117" xr:uid="{00000000-0004-0000-0500-000074000000}"/>
    <hyperlink ref="F118" r:id="rId118" xr:uid="{00000000-0004-0000-0500-000075000000}"/>
    <hyperlink ref="F119" r:id="rId119" xr:uid="{00000000-0004-0000-0500-000076000000}"/>
    <hyperlink ref="F120" r:id="rId120" xr:uid="{00000000-0004-0000-0500-000077000000}"/>
    <hyperlink ref="F121" r:id="rId121" xr:uid="{00000000-0004-0000-0500-000078000000}"/>
    <hyperlink ref="F122" r:id="rId122" xr:uid="{00000000-0004-0000-0500-000079000000}"/>
    <hyperlink ref="F123" r:id="rId123" xr:uid="{00000000-0004-0000-0500-00007A000000}"/>
    <hyperlink ref="F124" r:id="rId124" xr:uid="{00000000-0004-0000-0500-00007B000000}"/>
    <hyperlink ref="F125" r:id="rId125" xr:uid="{00000000-0004-0000-0500-00007C000000}"/>
    <hyperlink ref="F126" r:id="rId126" xr:uid="{00000000-0004-0000-0500-00007D000000}"/>
    <hyperlink ref="F127" r:id="rId127" xr:uid="{00000000-0004-0000-0500-00007E000000}"/>
    <hyperlink ref="F128" r:id="rId128" xr:uid="{00000000-0004-0000-0500-00007F000000}"/>
    <hyperlink ref="F129" r:id="rId129" xr:uid="{00000000-0004-0000-0500-000080000000}"/>
    <hyperlink ref="F130" r:id="rId130" xr:uid="{00000000-0004-0000-0500-000081000000}"/>
    <hyperlink ref="F131" r:id="rId131" xr:uid="{00000000-0004-0000-0500-000082000000}"/>
    <hyperlink ref="F132" r:id="rId132" xr:uid="{00000000-0004-0000-0500-000083000000}"/>
    <hyperlink ref="F133" r:id="rId133" xr:uid="{00000000-0004-0000-0500-000084000000}"/>
    <hyperlink ref="F134" r:id="rId134" xr:uid="{00000000-0004-0000-0500-000085000000}"/>
    <hyperlink ref="F135" r:id="rId135" xr:uid="{00000000-0004-0000-0500-000086000000}"/>
    <hyperlink ref="F136" r:id="rId136" xr:uid="{00000000-0004-0000-0500-000087000000}"/>
    <hyperlink ref="F137" r:id="rId137" xr:uid="{00000000-0004-0000-0500-000088000000}"/>
    <hyperlink ref="F138" r:id="rId138" xr:uid="{00000000-0004-0000-0500-000089000000}"/>
    <hyperlink ref="F139" r:id="rId139" xr:uid="{00000000-0004-0000-0500-00008A000000}"/>
    <hyperlink ref="F140" r:id="rId140" xr:uid="{00000000-0004-0000-0500-00008B000000}"/>
    <hyperlink ref="F141" r:id="rId141" xr:uid="{00000000-0004-0000-0500-00008C000000}"/>
    <hyperlink ref="F142" r:id="rId142" xr:uid="{00000000-0004-0000-0500-00008D000000}"/>
    <hyperlink ref="F143" r:id="rId143" xr:uid="{00000000-0004-0000-0500-00008E000000}"/>
    <hyperlink ref="F144" r:id="rId144" xr:uid="{00000000-0004-0000-0500-00008F000000}"/>
    <hyperlink ref="F145" r:id="rId145" xr:uid="{00000000-0004-0000-0500-000090000000}"/>
    <hyperlink ref="F146" r:id="rId146" xr:uid="{00000000-0004-0000-0500-000091000000}"/>
    <hyperlink ref="F147" r:id="rId147" xr:uid="{00000000-0004-0000-0500-000092000000}"/>
    <hyperlink ref="F148" r:id="rId148" xr:uid="{00000000-0004-0000-0500-000093000000}"/>
    <hyperlink ref="F149" r:id="rId149" xr:uid="{00000000-0004-0000-0500-000094000000}"/>
    <hyperlink ref="F150" r:id="rId150" xr:uid="{00000000-0004-0000-0500-000095000000}"/>
    <hyperlink ref="F151" r:id="rId151" xr:uid="{00000000-0004-0000-0500-000096000000}"/>
    <hyperlink ref="F152" r:id="rId152" xr:uid="{00000000-0004-0000-0500-000097000000}"/>
    <hyperlink ref="F153" r:id="rId153" xr:uid="{00000000-0004-0000-0500-000098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71"/>
  <sheetViews>
    <sheetView workbookViewId="0"/>
  </sheetViews>
  <sheetFormatPr defaultColWidth="12.6640625" defaultRowHeight="15.75" customHeight="1"/>
  <sheetData>
    <row r="1" spans="1:15" ht="15.75" customHeight="1">
      <c r="A1" s="23" t="s">
        <v>0</v>
      </c>
      <c r="B1" s="20" t="s">
        <v>1</v>
      </c>
      <c r="C1" s="20" t="s">
        <v>2</v>
      </c>
      <c r="D1" s="20" t="s">
        <v>3</v>
      </c>
      <c r="E1" s="20" t="s">
        <v>8</v>
      </c>
      <c r="F1" s="20" t="s">
        <v>9</v>
      </c>
      <c r="G1" s="20" t="s">
        <v>10</v>
      </c>
      <c r="H1" s="20" t="s">
        <v>11</v>
      </c>
      <c r="I1" s="20" t="s">
        <v>12</v>
      </c>
      <c r="J1" s="20" t="s">
        <v>606</v>
      </c>
      <c r="K1" s="20" t="s">
        <v>607</v>
      </c>
      <c r="L1" s="20" t="s">
        <v>618</v>
      </c>
      <c r="M1" s="20" t="s">
        <v>619</v>
      </c>
      <c r="N1" s="20" t="s">
        <v>620</v>
      </c>
      <c r="O1" s="20" t="s">
        <v>608</v>
      </c>
    </row>
    <row r="2" spans="1:15" ht="15.75" customHeight="1">
      <c r="A2" s="21">
        <v>10</v>
      </c>
      <c r="B2" s="20" t="s">
        <v>25</v>
      </c>
      <c r="C2" s="20" t="s">
        <v>26</v>
      </c>
      <c r="D2" s="20" t="s">
        <v>38</v>
      </c>
      <c r="E2" s="21">
        <v>19293127422</v>
      </c>
      <c r="F2" s="19" t="s">
        <v>39</v>
      </c>
      <c r="G2" s="20" t="s">
        <v>29</v>
      </c>
      <c r="H2" s="21">
        <v>3.5</v>
      </c>
      <c r="I2" s="21">
        <v>8</v>
      </c>
      <c r="J2" s="20" t="s">
        <v>29</v>
      </c>
      <c r="K2" s="20" t="s">
        <v>613</v>
      </c>
      <c r="L2" s="20" t="s">
        <v>621</v>
      </c>
      <c r="M2" s="20" t="s">
        <v>624</v>
      </c>
      <c r="N2" s="20" t="s">
        <v>624</v>
      </c>
      <c r="O2" s="21">
        <v>0.94</v>
      </c>
    </row>
    <row r="3" spans="1:15" ht="15.75" customHeight="1">
      <c r="A3" s="21">
        <v>12</v>
      </c>
      <c r="B3" s="20" t="s">
        <v>25</v>
      </c>
      <c r="C3" s="20" t="s">
        <v>26</v>
      </c>
      <c r="D3" s="20" t="s">
        <v>42</v>
      </c>
      <c r="E3" s="21">
        <v>12124757962</v>
      </c>
      <c r="F3" s="19" t="s">
        <v>43</v>
      </c>
      <c r="G3" s="20" t="s">
        <v>29</v>
      </c>
      <c r="H3" s="21">
        <v>4</v>
      </c>
      <c r="I3" s="21">
        <v>14</v>
      </c>
      <c r="J3" s="20" t="s">
        <v>29</v>
      </c>
      <c r="K3" s="20" t="s">
        <v>613</v>
      </c>
      <c r="L3" s="20" t="s">
        <v>621</v>
      </c>
      <c r="M3" s="20" t="s">
        <v>624</v>
      </c>
      <c r="N3" s="20" t="s">
        <v>624</v>
      </c>
      <c r="O3" s="21">
        <v>1</v>
      </c>
    </row>
    <row r="4" spans="1:15" ht="15.75" customHeight="1">
      <c r="A4" s="21">
        <v>14</v>
      </c>
      <c r="B4" s="20" t="s">
        <v>25</v>
      </c>
      <c r="C4" s="20" t="s">
        <v>26</v>
      </c>
      <c r="D4" s="20" t="s">
        <v>46</v>
      </c>
      <c r="E4" s="21">
        <v>16469830367</v>
      </c>
      <c r="F4" s="19" t="s">
        <v>47</v>
      </c>
      <c r="G4" s="20" t="s">
        <v>29</v>
      </c>
      <c r="H4" s="21">
        <v>4.0999999999999996</v>
      </c>
      <c r="I4" s="21">
        <v>25</v>
      </c>
      <c r="J4" s="20" t="s">
        <v>29</v>
      </c>
      <c r="K4" s="20" t="s">
        <v>613</v>
      </c>
      <c r="L4" s="20" t="s">
        <v>621</v>
      </c>
      <c r="M4" s="20" t="s">
        <v>624</v>
      </c>
      <c r="N4" s="20" t="s">
        <v>624</v>
      </c>
      <c r="O4" s="21">
        <v>0.75</v>
      </c>
    </row>
    <row r="5" spans="1:15" ht="15.75" customHeight="1">
      <c r="A5" s="21">
        <v>18</v>
      </c>
      <c r="B5" s="20" t="s">
        <v>25</v>
      </c>
      <c r="C5" s="20" t="s">
        <v>26</v>
      </c>
      <c r="D5" s="20" t="s">
        <v>54</v>
      </c>
      <c r="E5" s="21">
        <v>12129247249</v>
      </c>
      <c r="F5" s="19" t="s">
        <v>55</v>
      </c>
      <c r="G5" s="20" t="s">
        <v>56</v>
      </c>
      <c r="H5" s="21">
        <v>3.8</v>
      </c>
      <c r="I5" s="21">
        <v>16</v>
      </c>
      <c r="J5" s="20" t="s">
        <v>56</v>
      </c>
      <c r="K5" s="20" t="s">
        <v>613</v>
      </c>
      <c r="L5" s="20" t="s">
        <v>621</v>
      </c>
      <c r="M5" s="20" t="s">
        <v>624</v>
      </c>
      <c r="N5" s="20" t="s">
        <v>624</v>
      </c>
      <c r="O5" s="21">
        <v>1</v>
      </c>
    </row>
    <row r="6" spans="1:15" ht="15.75" customHeight="1">
      <c r="A6" s="21">
        <v>19</v>
      </c>
      <c r="B6" s="20" t="s">
        <v>25</v>
      </c>
      <c r="C6" s="20" t="s">
        <v>26</v>
      </c>
      <c r="D6" s="20" t="s">
        <v>57</v>
      </c>
      <c r="E6" s="21">
        <v>19176756480</v>
      </c>
      <c r="F6" s="19" t="s">
        <v>58</v>
      </c>
      <c r="G6" s="20" t="s">
        <v>29</v>
      </c>
      <c r="H6" s="21">
        <v>3.8</v>
      </c>
      <c r="I6" s="21">
        <v>50</v>
      </c>
      <c r="J6" s="20" t="s">
        <v>29</v>
      </c>
      <c r="K6" s="20" t="s">
        <v>613</v>
      </c>
      <c r="L6" s="20" t="s">
        <v>621</v>
      </c>
      <c r="M6" s="20" t="s">
        <v>624</v>
      </c>
      <c r="N6" s="20" t="s">
        <v>624</v>
      </c>
      <c r="O6" s="21">
        <v>1</v>
      </c>
    </row>
    <row r="7" spans="1:15" ht="15.75" customHeight="1">
      <c r="A7" s="21">
        <v>26</v>
      </c>
      <c r="B7" s="20" t="s">
        <v>13</v>
      </c>
      <c r="C7" s="20" t="s">
        <v>14</v>
      </c>
      <c r="D7" s="20" t="s">
        <v>72</v>
      </c>
      <c r="E7" s="21">
        <v>9389812289</v>
      </c>
      <c r="F7" s="19" t="s">
        <v>73</v>
      </c>
      <c r="G7" s="20" t="s">
        <v>61</v>
      </c>
      <c r="H7" s="21">
        <v>3.8</v>
      </c>
      <c r="I7" s="21">
        <v>54</v>
      </c>
      <c r="J7" s="20" t="s">
        <v>61</v>
      </c>
      <c r="K7" s="20" t="s">
        <v>610</v>
      </c>
      <c r="L7" s="20" t="s">
        <v>621</v>
      </c>
      <c r="M7" s="20" t="s">
        <v>624</v>
      </c>
      <c r="N7" s="20" t="s">
        <v>624</v>
      </c>
      <c r="O7" s="21">
        <v>0.98</v>
      </c>
    </row>
    <row r="8" spans="1:15" ht="15.75" customHeight="1">
      <c r="A8" s="21">
        <v>42</v>
      </c>
      <c r="B8" s="20" t="s">
        <v>25</v>
      </c>
      <c r="C8" s="20" t="s">
        <v>26</v>
      </c>
      <c r="D8" s="20" t="s">
        <v>104</v>
      </c>
      <c r="E8" s="21">
        <v>17182329077</v>
      </c>
      <c r="F8" s="19" t="s">
        <v>105</v>
      </c>
      <c r="G8" s="20" t="s">
        <v>61</v>
      </c>
      <c r="H8" s="21">
        <v>3</v>
      </c>
      <c r="I8" s="21">
        <v>12</v>
      </c>
      <c r="J8" s="20" t="s">
        <v>61</v>
      </c>
      <c r="K8" s="20" t="s">
        <v>613</v>
      </c>
      <c r="L8" s="20" t="s">
        <v>621</v>
      </c>
      <c r="M8" s="20" t="s">
        <v>624</v>
      </c>
      <c r="N8" s="20" t="s">
        <v>624</v>
      </c>
      <c r="O8" s="21">
        <v>1</v>
      </c>
    </row>
    <row r="9" spans="1:15" ht="15.75" customHeight="1">
      <c r="A9" s="21">
        <v>44</v>
      </c>
      <c r="B9" s="20" t="s">
        <v>25</v>
      </c>
      <c r="C9" s="20" t="s">
        <v>26</v>
      </c>
      <c r="D9" s="20" t="s">
        <v>108</v>
      </c>
      <c r="E9" s="21">
        <v>17187888899</v>
      </c>
      <c r="F9" s="19" t="s">
        <v>109</v>
      </c>
      <c r="G9" s="20" t="s">
        <v>61</v>
      </c>
      <c r="H9" s="21">
        <v>2.9</v>
      </c>
      <c r="I9" s="21">
        <v>52</v>
      </c>
      <c r="J9" s="20" t="s">
        <v>61</v>
      </c>
      <c r="K9" s="20" t="s">
        <v>613</v>
      </c>
      <c r="L9" s="20" t="s">
        <v>621</v>
      </c>
      <c r="M9" s="20" t="s">
        <v>624</v>
      </c>
      <c r="N9" s="20" t="s">
        <v>624</v>
      </c>
      <c r="O9" s="21">
        <v>1</v>
      </c>
    </row>
    <row r="10" spans="1:15" ht="15.75" customHeight="1">
      <c r="A10" s="21">
        <v>46</v>
      </c>
      <c r="B10" s="20" t="s">
        <v>25</v>
      </c>
      <c r="C10" s="20" t="s">
        <v>26</v>
      </c>
      <c r="D10" s="20" t="s">
        <v>112</v>
      </c>
      <c r="E10" s="21">
        <v>12126500911</v>
      </c>
      <c r="F10" s="19" t="s">
        <v>113</v>
      </c>
      <c r="G10" s="20" t="s">
        <v>114</v>
      </c>
      <c r="H10" s="21">
        <v>3.7</v>
      </c>
      <c r="I10" s="21">
        <v>28</v>
      </c>
      <c r="J10" s="20" t="s">
        <v>114</v>
      </c>
      <c r="K10" s="20" t="s">
        <v>613</v>
      </c>
      <c r="L10" s="20" t="s">
        <v>621</v>
      </c>
      <c r="M10" s="20" t="s">
        <v>624</v>
      </c>
      <c r="N10" s="20" t="s">
        <v>624</v>
      </c>
      <c r="O10" s="21">
        <v>1</v>
      </c>
    </row>
    <row r="11" spans="1:15" ht="15.75" customHeight="1">
      <c r="A11" s="21">
        <v>47</v>
      </c>
      <c r="B11" s="20" t="s">
        <v>25</v>
      </c>
      <c r="C11" s="20" t="s">
        <v>26</v>
      </c>
      <c r="D11" s="20" t="s">
        <v>115</v>
      </c>
      <c r="E11" s="21">
        <v>17188719200</v>
      </c>
      <c r="F11" s="19" t="s">
        <v>116</v>
      </c>
      <c r="G11" s="20" t="s">
        <v>114</v>
      </c>
      <c r="H11" s="21">
        <v>4.7</v>
      </c>
      <c r="I11" s="21">
        <v>3</v>
      </c>
      <c r="J11" s="20" t="s">
        <v>114</v>
      </c>
      <c r="K11" s="20" t="s">
        <v>613</v>
      </c>
      <c r="L11" s="20" t="s">
        <v>621</v>
      </c>
      <c r="M11" s="20" t="s">
        <v>624</v>
      </c>
      <c r="N11" s="20" t="s">
        <v>624</v>
      </c>
      <c r="O11" s="21">
        <v>0.93</v>
      </c>
    </row>
    <row r="12" spans="1:15" ht="15.75" customHeight="1">
      <c r="A12" s="21">
        <v>48</v>
      </c>
      <c r="B12" s="20" t="s">
        <v>25</v>
      </c>
      <c r="C12" s="20" t="s">
        <v>26</v>
      </c>
      <c r="D12" s="20" t="s">
        <v>117</v>
      </c>
      <c r="E12" s="21">
        <v>12122458708</v>
      </c>
      <c r="F12" s="19" t="s">
        <v>118</v>
      </c>
      <c r="G12" s="20" t="s">
        <v>114</v>
      </c>
      <c r="H12" s="21">
        <v>2.2999999999999998</v>
      </c>
      <c r="I12" s="21">
        <v>37</v>
      </c>
      <c r="J12" s="20" t="s">
        <v>114</v>
      </c>
      <c r="K12" s="20" t="s">
        <v>613</v>
      </c>
      <c r="L12" s="20" t="s">
        <v>621</v>
      </c>
      <c r="M12" s="20" t="s">
        <v>624</v>
      </c>
      <c r="N12" s="20" t="s">
        <v>624</v>
      </c>
      <c r="O12" s="21">
        <v>0.99</v>
      </c>
    </row>
    <row r="13" spans="1:15" ht="15.75" customHeight="1">
      <c r="A13" s="21">
        <v>49</v>
      </c>
      <c r="B13" s="20" t="s">
        <v>25</v>
      </c>
      <c r="C13" s="20" t="s">
        <v>26</v>
      </c>
      <c r="D13" s="20" t="s">
        <v>119</v>
      </c>
      <c r="E13" s="21">
        <v>12122650774</v>
      </c>
      <c r="F13" s="19" t="s">
        <v>120</v>
      </c>
      <c r="G13" s="20" t="s">
        <v>114</v>
      </c>
      <c r="H13" s="21">
        <v>2.6</v>
      </c>
      <c r="I13" s="21">
        <v>93</v>
      </c>
      <c r="J13" s="20" t="s">
        <v>114</v>
      </c>
      <c r="K13" s="20" t="s">
        <v>613</v>
      </c>
      <c r="L13" s="20" t="s">
        <v>621</v>
      </c>
      <c r="M13" s="20" t="s">
        <v>624</v>
      </c>
      <c r="N13" s="20" t="s">
        <v>624</v>
      </c>
      <c r="O13" s="21">
        <v>0.77</v>
      </c>
    </row>
    <row r="14" spans="1:15" ht="15.75" customHeight="1">
      <c r="A14" s="21">
        <v>50</v>
      </c>
      <c r="B14" s="20" t="s">
        <v>25</v>
      </c>
      <c r="C14" s="20" t="s">
        <v>26</v>
      </c>
      <c r="D14" s="20" t="s">
        <v>121</v>
      </c>
      <c r="E14" s="21">
        <v>16468239289</v>
      </c>
      <c r="F14" s="19" t="s">
        <v>122</v>
      </c>
      <c r="G14" s="20" t="s">
        <v>114</v>
      </c>
      <c r="H14" s="21">
        <v>3.9</v>
      </c>
      <c r="I14" s="21">
        <v>14</v>
      </c>
      <c r="J14" s="20" t="s">
        <v>114</v>
      </c>
      <c r="K14" s="20" t="s">
        <v>613</v>
      </c>
      <c r="L14" s="20" t="s">
        <v>621</v>
      </c>
      <c r="M14" s="20" t="s">
        <v>624</v>
      </c>
      <c r="N14" s="20" t="s">
        <v>624</v>
      </c>
      <c r="O14" s="21">
        <v>1</v>
      </c>
    </row>
    <row r="15" spans="1:15" ht="15.75" customHeight="1">
      <c r="A15" s="21">
        <v>51</v>
      </c>
      <c r="B15" s="20" t="s">
        <v>25</v>
      </c>
      <c r="C15" s="20" t="s">
        <v>26</v>
      </c>
      <c r="D15" s="20" t="s">
        <v>123</v>
      </c>
      <c r="E15" s="21">
        <v>18777275464</v>
      </c>
      <c r="F15" s="19" t="s">
        <v>124</v>
      </c>
      <c r="G15" s="20" t="s">
        <v>114</v>
      </c>
      <c r="H15" s="21">
        <v>3</v>
      </c>
      <c r="I15" s="21">
        <v>97</v>
      </c>
      <c r="J15" s="20" t="s">
        <v>114</v>
      </c>
      <c r="K15" s="20" t="s">
        <v>613</v>
      </c>
      <c r="L15" s="20" t="s">
        <v>621</v>
      </c>
      <c r="M15" s="20" t="s">
        <v>624</v>
      </c>
      <c r="N15" s="20" t="s">
        <v>624</v>
      </c>
      <c r="O15" s="21">
        <v>0.77</v>
      </c>
    </row>
    <row r="16" spans="1:15" ht="15.75" customHeight="1">
      <c r="A16" s="21">
        <v>54</v>
      </c>
      <c r="B16" s="20" t="s">
        <v>25</v>
      </c>
      <c r="C16" s="20" t="s">
        <v>26</v>
      </c>
      <c r="D16" s="20" t="s">
        <v>129</v>
      </c>
      <c r="E16" s="21">
        <v>12122429791</v>
      </c>
      <c r="F16" s="19" t="s">
        <v>130</v>
      </c>
      <c r="G16" s="20" t="s">
        <v>114</v>
      </c>
      <c r="H16" s="21">
        <v>3.2</v>
      </c>
      <c r="I16" s="21">
        <v>38</v>
      </c>
      <c r="J16" s="20" t="s">
        <v>114</v>
      </c>
      <c r="K16" s="20" t="s">
        <v>613</v>
      </c>
      <c r="L16" s="20" t="s">
        <v>621</v>
      </c>
      <c r="M16" s="20" t="s">
        <v>624</v>
      </c>
      <c r="N16" s="20" t="s">
        <v>624</v>
      </c>
      <c r="O16" s="21">
        <v>1</v>
      </c>
    </row>
    <row r="17" spans="1:15" ht="15.75" customHeight="1">
      <c r="A17" s="21">
        <v>55</v>
      </c>
      <c r="B17" s="20" t="s">
        <v>13</v>
      </c>
      <c r="C17" s="20" t="s">
        <v>14</v>
      </c>
      <c r="D17" s="20" t="s">
        <v>131</v>
      </c>
      <c r="E17" s="21">
        <v>7347867373</v>
      </c>
      <c r="F17" s="19" t="s">
        <v>132</v>
      </c>
      <c r="G17" s="20" t="s">
        <v>61</v>
      </c>
      <c r="H17" s="21">
        <v>3.3</v>
      </c>
      <c r="I17" s="21">
        <v>24</v>
      </c>
      <c r="J17" s="20" t="s">
        <v>61</v>
      </c>
      <c r="K17" s="20" t="s">
        <v>610</v>
      </c>
      <c r="L17" s="20" t="s">
        <v>621</v>
      </c>
      <c r="M17" s="20" t="s">
        <v>624</v>
      </c>
      <c r="N17" s="20" t="s">
        <v>624</v>
      </c>
      <c r="O17" s="21">
        <v>1</v>
      </c>
    </row>
    <row r="18" spans="1:15" ht="15.75" customHeight="1">
      <c r="A18" s="21">
        <v>56</v>
      </c>
      <c r="B18" s="20" t="s">
        <v>13</v>
      </c>
      <c r="C18" s="20" t="s">
        <v>14</v>
      </c>
      <c r="D18" s="20" t="s">
        <v>133</v>
      </c>
      <c r="E18" s="21">
        <v>7081285540</v>
      </c>
      <c r="F18" s="19" t="s">
        <v>134</v>
      </c>
      <c r="G18" s="20" t="s">
        <v>61</v>
      </c>
      <c r="H18" s="21">
        <v>3.8</v>
      </c>
      <c r="I18" s="21">
        <v>53</v>
      </c>
      <c r="J18" s="20" t="s">
        <v>61</v>
      </c>
      <c r="K18" s="20" t="s">
        <v>610</v>
      </c>
      <c r="L18" s="20" t="s">
        <v>621</v>
      </c>
      <c r="M18" s="20" t="s">
        <v>624</v>
      </c>
      <c r="N18" s="20" t="s">
        <v>624</v>
      </c>
      <c r="O18" s="21">
        <v>0.99</v>
      </c>
    </row>
    <row r="19" spans="1:15" ht="15.75" customHeight="1">
      <c r="A19" s="21">
        <v>58</v>
      </c>
      <c r="B19" s="20" t="s">
        <v>13</v>
      </c>
      <c r="C19" s="20" t="s">
        <v>14</v>
      </c>
      <c r="D19" s="20" t="s">
        <v>137</v>
      </c>
      <c r="E19" s="21">
        <v>9839628426</v>
      </c>
      <c r="F19" s="19" t="s">
        <v>138</v>
      </c>
      <c r="G19" s="20" t="s">
        <v>61</v>
      </c>
      <c r="H19" s="21">
        <v>4.0999999999999996</v>
      </c>
      <c r="I19" s="21">
        <v>7</v>
      </c>
      <c r="J19" s="20" t="s">
        <v>61</v>
      </c>
      <c r="K19" s="20" t="s">
        <v>610</v>
      </c>
      <c r="L19" s="20" t="s">
        <v>621</v>
      </c>
      <c r="M19" s="20" t="s">
        <v>624</v>
      </c>
      <c r="N19" s="20" t="s">
        <v>624</v>
      </c>
      <c r="O19" s="21">
        <v>0.99</v>
      </c>
    </row>
    <row r="20" spans="1:15" ht="15.75" customHeight="1">
      <c r="A20" s="21">
        <v>59</v>
      </c>
      <c r="B20" s="20" t="s">
        <v>13</v>
      </c>
      <c r="C20" s="20" t="s">
        <v>14</v>
      </c>
      <c r="D20" s="20" t="s">
        <v>139</v>
      </c>
      <c r="E20" s="21">
        <v>8934029404</v>
      </c>
      <c r="F20" s="19" t="s">
        <v>140</v>
      </c>
      <c r="G20" s="20" t="s">
        <v>61</v>
      </c>
      <c r="H20" s="21">
        <v>4</v>
      </c>
      <c r="I20" s="21">
        <v>6</v>
      </c>
      <c r="J20" s="20" t="s">
        <v>61</v>
      </c>
      <c r="K20" s="20" t="s">
        <v>610</v>
      </c>
      <c r="L20" s="20" t="s">
        <v>621</v>
      </c>
      <c r="M20" s="20" t="s">
        <v>624</v>
      </c>
      <c r="N20" s="20" t="s">
        <v>624</v>
      </c>
      <c r="O20" s="21">
        <v>1</v>
      </c>
    </row>
    <row r="21" spans="1:15" ht="15.75" customHeight="1">
      <c r="A21" s="21">
        <v>66</v>
      </c>
      <c r="B21" s="20" t="s">
        <v>13</v>
      </c>
      <c r="C21" s="20" t="s">
        <v>14</v>
      </c>
      <c r="D21" s="20" t="s">
        <v>153</v>
      </c>
      <c r="E21" s="21">
        <v>9307055555</v>
      </c>
      <c r="F21" s="19" t="s">
        <v>154</v>
      </c>
      <c r="G21" s="20" t="s">
        <v>61</v>
      </c>
      <c r="H21" s="21">
        <v>3.7</v>
      </c>
      <c r="I21" s="21">
        <v>6</v>
      </c>
      <c r="J21" s="20" t="s">
        <v>61</v>
      </c>
      <c r="K21" s="20" t="s">
        <v>610</v>
      </c>
      <c r="L21" s="20" t="s">
        <v>621</v>
      </c>
      <c r="M21" s="20" t="s">
        <v>624</v>
      </c>
      <c r="N21" s="20" t="s">
        <v>624</v>
      </c>
      <c r="O21" s="21">
        <v>1</v>
      </c>
    </row>
    <row r="22" spans="1:15" ht="15.75" customHeight="1">
      <c r="A22" s="21">
        <v>68</v>
      </c>
      <c r="B22" s="20" t="s">
        <v>13</v>
      </c>
      <c r="C22" s="20" t="s">
        <v>14</v>
      </c>
      <c r="D22" s="20" t="s">
        <v>157</v>
      </c>
      <c r="E22" s="21">
        <v>8707605386</v>
      </c>
      <c r="F22" s="19" t="s">
        <v>158</v>
      </c>
      <c r="G22" s="20" t="s">
        <v>61</v>
      </c>
      <c r="H22" s="21">
        <v>3.6</v>
      </c>
      <c r="I22" s="21">
        <v>5</v>
      </c>
      <c r="J22" s="20" t="s">
        <v>61</v>
      </c>
      <c r="K22" s="20" t="s">
        <v>610</v>
      </c>
      <c r="L22" s="20" t="s">
        <v>621</v>
      </c>
      <c r="M22" s="20" t="s">
        <v>624</v>
      </c>
      <c r="N22" s="20" t="s">
        <v>624</v>
      </c>
      <c r="O22" s="21">
        <v>0.99</v>
      </c>
    </row>
    <row r="23" spans="1:15" ht="15.75" customHeight="1">
      <c r="A23" s="21">
        <v>70</v>
      </c>
      <c r="B23" s="20" t="s">
        <v>25</v>
      </c>
      <c r="C23" s="20" t="s">
        <v>26</v>
      </c>
      <c r="D23" s="20" t="s">
        <v>161</v>
      </c>
      <c r="E23" s="21">
        <v>19174091992</v>
      </c>
      <c r="F23" s="19" t="s">
        <v>162</v>
      </c>
      <c r="G23" s="20" t="s">
        <v>114</v>
      </c>
      <c r="H23" s="21">
        <v>1.2</v>
      </c>
      <c r="I23" s="21">
        <v>25</v>
      </c>
      <c r="J23" s="20" t="s">
        <v>114</v>
      </c>
      <c r="K23" s="20" t="s">
        <v>613</v>
      </c>
      <c r="L23" s="20" t="s">
        <v>621</v>
      </c>
      <c r="M23" s="20" t="s">
        <v>624</v>
      </c>
      <c r="N23" s="20" t="s">
        <v>624</v>
      </c>
      <c r="O23" s="21">
        <v>1</v>
      </c>
    </row>
    <row r="24" spans="1:15" ht="15.75" customHeight="1">
      <c r="A24" s="21">
        <v>71</v>
      </c>
      <c r="B24" s="20" t="s">
        <v>25</v>
      </c>
      <c r="C24" s="20" t="s">
        <v>26</v>
      </c>
      <c r="D24" s="20" t="s">
        <v>163</v>
      </c>
      <c r="E24" s="21">
        <v>19177451148</v>
      </c>
      <c r="F24" s="19" t="s">
        <v>164</v>
      </c>
      <c r="G24" s="20" t="s">
        <v>114</v>
      </c>
      <c r="H24" s="21">
        <v>3.3</v>
      </c>
      <c r="I24" s="21">
        <v>19</v>
      </c>
      <c r="J24" s="20" t="s">
        <v>114</v>
      </c>
      <c r="K24" s="20" t="s">
        <v>613</v>
      </c>
      <c r="L24" s="20" t="s">
        <v>621</v>
      </c>
      <c r="M24" s="20" t="s">
        <v>624</v>
      </c>
      <c r="N24" s="20" t="s">
        <v>624</v>
      </c>
      <c r="O24" s="21">
        <v>1</v>
      </c>
    </row>
    <row r="25" spans="1:15" ht="15.75" customHeight="1">
      <c r="A25" s="21">
        <v>72</v>
      </c>
      <c r="B25" s="20" t="s">
        <v>25</v>
      </c>
      <c r="C25" s="20" t="s">
        <v>26</v>
      </c>
      <c r="D25" s="20" t="s">
        <v>165</v>
      </c>
      <c r="E25" s="21">
        <v>12123682579</v>
      </c>
      <c r="F25" s="19" t="s">
        <v>166</v>
      </c>
      <c r="G25" s="20" t="s">
        <v>114</v>
      </c>
      <c r="H25" s="21">
        <v>2.8</v>
      </c>
      <c r="I25" s="21">
        <v>5</v>
      </c>
      <c r="J25" s="20" t="s">
        <v>114</v>
      </c>
      <c r="K25" s="20" t="s">
        <v>613</v>
      </c>
      <c r="L25" s="20" t="s">
        <v>621</v>
      </c>
      <c r="M25" s="20" t="s">
        <v>624</v>
      </c>
      <c r="N25" s="20" t="s">
        <v>624</v>
      </c>
      <c r="O25" s="21">
        <v>1</v>
      </c>
    </row>
    <row r="26" spans="1:15" ht="15.75" customHeight="1">
      <c r="A26" s="21">
        <v>73</v>
      </c>
      <c r="B26" s="20" t="s">
        <v>25</v>
      </c>
      <c r="C26" s="20" t="s">
        <v>26</v>
      </c>
      <c r="D26" s="20" t="s">
        <v>167</v>
      </c>
      <c r="E26" s="21">
        <v>18008366666</v>
      </c>
      <c r="F26" s="19" t="s">
        <v>168</v>
      </c>
      <c r="G26" s="20" t="s">
        <v>114</v>
      </c>
      <c r="H26" s="21">
        <v>3.6</v>
      </c>
      <c r="I26" s="21">
        <v>40</v>
      </c>
      <c r="J26" s="20" t="s">
        <v>114</v>
      </c>
      <c r="K26" s="20" t="s">
        <v>613</v>
      </c>
      <c r="L26" s="20" t="s">
        <v>621</v>
      </c>
      <c r="M26" s="20" t="s">
        <v>624</v>
      </c>
      <c r="N26" s="20" t="s">
        <v>624</v>
      </c>
      <c r="O26" s="21">
        <v>0.96</v>
      </c>
    </row>
    <row r="27" spans="1:15" ht="14.4">
      <c r="A27" s="21">
        <v>75</v>
      </c>
      <c r="B27" s="20" t="s">
        <v>13</v>
      </c>
      <c r="C27" s="20" t="s">
        <v>14</v>
      </c>
      <c r="D27" s="20" t="s">
        <v>171</v>
      </c>
      <c r="E27" s="21">
        <v>9919524137</v>
      </c>
      <c r="F27" s="19" t="s">
        <v>172</v>
      </c>
      <c r="G27" s="20" t="s">
        <v>61</v>
      </c>
      <c r="H27" s="21">
        <v>3.8</v>
      </c>
      <c r="I27" s="21">
        <v>28</v>
      </c>
      <c r="J27" s="20" t="s">
        <v>61</v>
      </c>
      <c r="K27" s="20" t="s">
        <v>610</v>
      </c>
      <c r="L27" s="20" t="s">
        <v>621</v>
      </c>
      <c r="M27" s="20" t="s">
        <v>624</v>
      </c>
      <c r="N27" s="20" t="s">
        <v>624</v>
      </c>
      <c r="O27" s="21">
        <v>1</v>
      </c>
    </row>
    <row r="28" spans="1:15" ht="14.4">
      <c r="A28" s="21">
        <v>77</v>
      </c>
      <c r="B28" s="20" t="s">
        <v>13</v>
      </c>
      <c r="C28" s="20" t="s">
        <v>14</v>
      </c>
      <c r="D28" s="20" t="s">
        <v>175</v>
      </c>
      <c r="E28" s="21">
        <v>8081758681</v>
      </c>
      <c r="F28" s="19" t="s">
        <v>176</v>
      </c>
      <c r="G28" s="20" t="s">
        <v>61</v>
      </c>
      <c r="H28" s="21">
        <v>4.3</v>
      </c>
      <c r="I28" s="21">
        <v>14</v>
      </c>
      <c r="J28" s="20" t="s">
        <v>61</v>
      </c>
      <c r="K28" s="20" t="s">
        <v>610</v>
      </c>
      <c r="L28" s="20" t="s">
        <v>621</v>
      </c>
      <c r="M28" s="20" t="s">
        <v>624</v>
      </c>
      <c r="N28" s="20" t="s">
        <v>624</v>
      </c>
      <c r="O28" s="21">
        <v>0.65</v>
      </c>
    </row>
    <row r="29" spans="1:15" ht="14.4">
      <c r="A29" s="21">
        <v>91</v>
      </c>
      <c r="B29" s="20" t="s">
        <v>25</v>
      </c>
      <c r="C29" s="20" t="s">
        <v>26</v>
      </c>
      <c r="D29" s="20" t="s">
        <v>203</v>
      </c>
      <c r="E29" s="21">
        <v>12122498960</v>
      </c>
      <c r="F29" s="19" t="s">
        <v>204</v>
      </c>
      <c r="G29" s="20" t="s">
        <v>114</v>
      </c>
      <c r="H29" s="21">
        <v>1.9</v>
      </c>
      <c r="I29" s="21">
        <v>8</v>
      </c>
      <c r="J29" s="20" t="s">
        <v>114</v>
      </c>
      <c r="K29" s="20" t="s">
        <v>613</v>
      </c>
      <c r="L29" s="20" t="s">
        <v>621</v>
      </c>
      <c r="M29" s="20" t="s">
        <v>624</v>
      </c>
      <c r="N29" s="20" t="s">
        <v>624</v>
      </c>
      <c r="O29" s="21">
        <v>1</v>
      </c>
    </row>
    <row r="30" spans="1:15" ht="14.4">
      <c r="A30" s="21">
        <v>92</v>
      </c>
      <c r="B30" s="20" t="s">
        <v>25</v>
      </c>
      <c r="C30" s="20" t="s">
        <v>26</v>
      </c>
      <c r="D30" s="20" t="s">
        <v>205</v>
      </c>
      <c r="E30" s="21">
        <v>17186398129</v>
      </c>
      <c r="F30" s="19" t="s">
        <v>206</v>
      </c>
      <c r="G30" s="20" t="s">
        <v>114</v>
      </c>
      <c r="H30" s="21">
        <v>3.8</v>
      </c>
      <c r="I30" s="21">
        <v>28</v>
      </c>
      <c r="J30" s="20" t="s">
        <v>114</v>
      </c>
      <c r="K30" s="20" t="s">
        <v>613</v>
      </c>
      <c r="L30" s="20" t="s">
        <v>621</v>
      </c>
      <c r="M30" s="20" t="s">
        <v>624</v>
      </c>
      <c r="N30" s="20" t="s">
        <v>624</v>
      </c>
      <c r="O30" s="21">
        <v>1</v>
      </c>
    </row>
    <row r="31" spans="1:15" ht="14.4">
      <c r="A31" s="21">
        <v>93</v>
      </c>
      <c r="B31" s="20" t="s">
        <v>25</v>
      </c>
      <c r="C31" s="20" t="s">
        <v>26</v>
      </c>
      <c r="D31" s="20" t="s">
        <v>207</v>
      </c>
      <c r="E31" s="21">
        <v>12122193413</v>
      </c>
      <c r="F31" s="19" t="s">
        <v>208</v>
      </c>
      <c r="G31" s="20" t="s">
        <v>114</v>
      </c>
      <c r="H31" s="21">
        <v>3.1</v>
      </c>
      <c r="I31" s="21">
        <v>17</v>
      </c>
      <c r="J31" s="20" t="s">
        <v>114</v>
      </c>
      <c r="K31" s="20" t="s">
        <v>613</v>
      </c>
      <c r="L31" s="20" t="s">
        <v>621</v>
      </c>
      <c r="M31" s="20" t="s">
        <v>624</v>
      </c>
      <c r="N31" s="20" t="s">
        <v>624</v>
      </c>
      <c r="O31" s="21">
        <v>1</v>
      </c>
    </row>
    <row r="32" spans="1:15" ht="14.4">
      <c r="A32" s="21">
        <v>94</v>
      </c>
      <c r="B32" s="20" t="s">
        <v>25</v>
      </c>
      <c r="C32" s="20" t="s">
        <v>26</v>
      </c>
      <c r="D32" s="20" t="s">
        <v>209</v>
      </c>
      <c r="E32" s="21">
        <v>12123217500</v>
      </c>
      <c r="F32" s="19" t="s">
        <v>210</v>
      </c>
      <c r="G32" s="20" t="s">
        <v>114</v>
      </c>
      <c r="H32" s="21">
        <v>3.6</v>
      </c>
      <c r="I32" s="21">
        <v>26</v>
      </c>
      <c r="J32" s="20" t="s">
        <v>114</v>
      </c>
      <c r="K32" s="20" t="s">
        <v>613</v>
      </c>
      <c r="L32" s="20" t="s">
        <v>621</v>
      </c>
      <c r="M32" s="20" t="s">
        <v>624</v>
      </c>
      <c r="N32" s="20" t="s">
        <v>624</v>
      </c>
      <c r="O32" s="21">
        <v>0.99</v>
      </c>
    </row>
    <row r="33" spans="1:15" ht="14.4">
      <c r="A33" s="21">
        <v>97</v>
      </c>
      <c r="B33" s="20" t="s">
        <v>13</v>
      </c>
      <c r="C33" s="20" t="s">
        <v>14</v>
      </c>
      <c r="D33" s="20" t="s">
        <v>216</v>
      </c>
      <c r="E33" s="21">
        <v>9389131446</v>
      </c>
      <c r="F33" s="19" t="s">
        <v>217</v>
      </c>
      <c r="G33" s="20" t="s">
        <v>213</v>
      </c>
      <c r="H33" s="21">
        <v>2.8</v>
      </c>
      <c r="I33" s="21">
        <v>11</v>
      </c>
      <c r="J33" s="20" t="s">
        <v>213</v>
      </c>
      <c r="K33" s="20" t="s">
        <v>610</v>
      </c>
      <c r="L33" s="20" t="s">
        <v>621</v>
      </c>
      <c r="M33" s="20" t="s">
        <v>624</v>
      </c>
      <c r="N33" s="20" t="s">
        <v>624</v>
      </c>
      <c r="O33" s="21">
        <v>1</v>
      </c>
    </row>
    <row r="34" spans="1:15" ht="14.4">
      <c r="A34" s="21">
        <v>98</v>
      </c>
      <c r="B34" s="20" t="s">
        <v>13</v>
      </c>
      <c r="C34" s="20" t="s">
        <v>14</v>
      </c>
      <c r="D34" s="19" t="s">
        <v>218</v>
      </c>
      <c r="E34" s="21">
        <v>8299803513</v>
      </c>
      <c r="F34" s="19" t="s">
        <v>219</v>
      </c>
      <c r="G34" s="20" t="s">
        <v>213</v>
      </c>
      <c r="H34" s="21">
        <v>2.5</v>
      </c>
      <c r="I34" s="21">
        <v>44</v>
      </c>
      <c r="J34" s="20" t="s">
        <v>213</v>
      </c>
      <c r="K34" s="20" t="s">
        <v>610</v>
      </c>
      <c r="L34" s="20" t="s">
        <v>621</v>
      </c>
      <c r="M34" s="20" t="s">
        <v>624</v>
      </c>
      <c r="N34" s="20" t="s">
        <v>624</v>
      </c>
      <c r="O34" s="21">
        <v>0.99</v>
      </c>
    </row>
    <row r="35" spans="1:15" ht="14.4">
      <c r="A35" s="21">
        <v>109</v>
      </c>
      <c r="B35" s="20" t="s">
        <v>25</v>
      </c>
      <c r="C35" s="20" t="s">
        <v>26</v>
      </c>
      <c r="D35" s="20" t="s">
        <v>240</v>
      </c>
      <c r="E35" s="21">
        <v>12127220762</v>
      </c>
      <c r="F35" s="19" t="s">
        <v>241</v>
      </c>
      <c r="G35" s="20" t="s">
        <v>242</v>
      </c>
      <c r="H35" s="21">
        <v>4</v>
      </c>
      <c r="I35" s="21">
        <v>5</v>
      </c>
      <c r="J35" s="20" t="s">
        <v>242</v>
      </c>
      <c r="K35" s="20" t="s">
        <v>613</v>
      </c>
      <c r="L35" s="20" t="s">
        <v>621</v>
      </c>
      <c r="M35" s="20" t="s">
        <v>624</v>
      </c>
      <c r="N35" s="20" t="s">
        <v>624</v>
      </c>
      <c r="O35" s="21">
        <v>1</v>
      </c>
    </row>
    <row r="36" spans="1:15" ht="14.4">
      <c r="A36" s="21">
        <v>111</v>
      </c>
      <c r="B36" s="20" t="s">
        <v>25</v>
      </c>
      <c r="C36" s="20" t="s">
        <v>26</v>
      </c>
      <c r="D36" s="20" t="s">
        <v>245</v>
      </c>
      <c r="E36" s="21">
        <v>12123962210</v>
      </c>
      <c r="F36" s="19" t="s">
        <v>246</v>
      </c>
      <c r="G36" s="20" t="s">
        <v>242</v>
      </c>
      <c r="H36" s="21">
        <v>3.9</v>
      </c>
      <c r="I36" s="21">
        <v>7</v>
      </c>
      <c r="J36" s="20" t="s">
        <v>242</v>
      </c>
      <c r="K36" s="20" t="s">
        <v>613</v>
      </c>
      <c r="L36" s="20" t="s">
        <v>621</v>
      </c>
      <c r="M36" s="20" t="s">
        <v>624</v>
      </c>
      <c r="N36" s="20" t="s">
        <v>624</v>
      </c>
      <c r="O36" s="21">
        <v>1</v>
      </c>
    </row>
    <row r="37" spans="1:15" ht="14.4">
      <c r="A37" s="21">
        <v>112</v>
      </c>
      <c r="B37" s="20" t="s">
        <v>25</v>
      </c>
      <c r="C37" s="20" t="s">
        <v>26</v>
      </c>
      <c r="D37" s="20" t="s">
        <v>247</v>
      </c>
      <c r="E37" s="21">
        <v>12122886035</v>
      </c>
      <c r="F37" s="19" t="s">
        <v>248</v>
      </c>
      <c r="G37" s="20" t="s">
        <v>242</v>
      </c>
      <c r="H37" s="21">
        <v>4.0999999999999996</v>
      </c>
      <c r="I37" s="21">
        <v>15</v>
      </c>
      <c r="J37" s="20" t="s">
        <v>242</v>
      </c>
      <c r="K37" s="20" t="s">
        <v>613</v>
      </c>
      <c r="L37" s="20" t="s">
        <v>621</v>
      </c>
      <c r="M37" s="20" t="s">
        <v>624</v>
      </c>
      <c r="N37" s="20" t="s">
        <v>624</v>
      </c>
      <c r="O37" s="21">
        <v>0.87</v>
      </c>
    </row>
    <row r="38" spans="1:15" ht="14.4">
      <c r="A38" s="21">
        <v>114</v>
      </c>
      <c r="B38" s="20" t="s">
        <v>13</v>
      </c>
      <c r="C38" s="20" t="s">
        <v>14</v>
      </c>
      <c r="D38" s="20" t="s">
        <v>251</v>
      </c>
      <c r="E38" s="21">
        <v>5222611484</v>
      </c>
      <c r="F38" s="19" t="s">
        <v>252</v>
      </c>
      <c r="G38" s="20" t="s">
        <v>56</v>
      </c>
      <c r="H38" s="21">
        <v>3.9</v>
      </c>
      <c r="I38" s="21">
        <v>37</v>
      </c>
      <c r="J38" s="20" t="s">
        <v>56</v>
      </c>
      <c r="K38" s="20" t="s">
        <v>610</v>
      </c>
      <c r="L38" s="20" t="s">
        <v>621</v>
      </c>
      <c r="M38" s="20" t="s">
        <v>624</v>
      </c>
      <c r="N38" s="20" t="s">
        <v>624</v>
      </c>
      <c r="O38" s="21">
        <v>0.96</v>
      </c>
    </row>
    <row r="39" spans="1:15" ht="14.4">
      <c r="A39" s="21">
        <v>124</v>
      </c>
      <c r="B39" s="20" t="s">
        <v>13</v>
      </c>
      <c r="C39" s="20" t="s">
        <v>14</v>
      </c>
      <c r="D39" s="20" t="s">
        <v>271</v>
      </c>
      <c r="E39" s="21">
        <v>9935565591</v>
      </c>
      <c r="F39" s="19" t="s">
        <v>272</v>
      </c>
      <c r="G39" s="20" t="s">
        <v>56</v>
      </c>
      <c r="H39" s="21">
        <v>4.0999999999999996</v>
      </c>
      <c r="I39" s="21">
        <v>12</v>
      </c>
      <c r="J39" s="20" t="s">
        <v>56</v>
      </c>
      <c r="K39" s="20" t="s">
        <v>610</v>
      </c>
      <c r="L39" s="20" t="s">
        <v>621</v>
      </c>
      <c r="M39" s="20" t="s">
        <v>624</v>
      </c>
      <c r="N39" s="20" t="s">
        <v>624</v>
      </c>
      <c r="O39" s="21">
        <v>0.96</v>
      </c>
    </row>
    <row r="40" spans="1:15" ht="14.4">
      <c r="A40" s="21">
        <v>150</v>
      </c>
      <c r="B40" s="20" t="s">
        <v>25</v>
      </c>
      <c r="C40" s="20" t="s">
        <v>26</v>
      </c>
      <c r="D40" s="20" t="s">
        <v>323</v>
      </c>
      <c r="E40" s="21">
        <v>12124144300</v>
      </c>
      <c r="F40" s="19" t="s">
        <v>324</v>
      </c>
      <c r="G40" s="20" t="s">
        <v>325</v>
      </c>
      <c r="H40" s="21">
        <v>3.7</v>
      </c>
      <c r="I40" s="21">
        <v>38</v>
      </c>
      <c r="J40" s="20" t="s">
        <v>325</v>
      </c>
      <c r="K40" s="20" t="s">
        <v>613</v>
      </c>
      <c r="L40" s="20" t="s">
        <v>621</v>
      </c>
      <c r="M40" s="20" t="s">
        <v>624</v>
      </c>
      <c r="N40" s="20" t="s">
        <v>624</v>
      </c>
      <c r="O40" s="21">
        <v>1</v>
      </c>
    </row>
    <row r="41" spans="1:15" ht="14.4">
      <c r="A41" s="21">
        <v>156</v>
      </c>
      <c r="B41" s="20" t="s">
        <v>13</v>
      </c>
      <c r="C41" s="20" t="s">
        <v>14</v>
      </c>
      <c r="D41" s="20" t="s">
        <v>335</v>
      </c>
      <c r="E41" s="21">
        <v>8564888944</v>
      </c>
      <c r="F41" s="19" t="s">
        <v>336</v>
      </c>
      <c r="G41" s="20" t="s">
        <v>56</v>
      </c>
      <c r="H41" s="21">
        <v>4</v>
      </c>
      <c r="I41" s="21">
        <v>18</v>
      </c>
      <c r="J41" s="20" t="s">
        <v>56</v>
      </c>
      <c r="K41" s="20" t="s">
        <v>610</v>
      </c>
      <c r="L41" s="20" t="s">
        <v>621</v>
      </c>
      <c r="M41" s="20" t="s">
        <v>624</v>
      </c>
      <c r="N41" s="20" t="s">
        <v>624</v>
      </c>
      <c r="O41" s="21">
        <v>0.96</v>
      </c>
    </row>
    <row r="42" spans="1:15" ht="14.4">
      <c r="A42" s="21">
        <v>157</v>
      </c>
      <c r="B42" s="20" t="s">
        <v>13</v>
      </c>
      <c r="C42" s="20" t="s">
        <v>14</v>
      </c>
      <c r="D42" s="20" t="s">
        <v>337</v>
      </c>
      <c r="E42" s="21">
        <v>8565902920</v>
      </c>
      <c r="F42" s="19" t="s">
        <v>338</v>
      </c>
      <c r="G42" s="20" t="s">
        <v>56</v>
      </c>
      <c r="H42" s="21">
        <v>3.8</v>
      </c>
      <c r="I42" s="21">
        <v>51</v>
      </c>
      <c r="J42" s="20" t="s">
        <v>56</v>
      </c>
      <c r="K42" s="20" t="s">
        <v>610</v>
      </c>
      <c r="L42" s="20" t="s">
        <v>621</v>
      </c>
      <c r="M42" s="20" t="s">
        <v>624</v>
      </c>
      <c r="N42" s="20" t="s">
        <v>624</v>
      </c>
      <c r="O42" s="21">
        <v>1</v>
      </c>
    </row>
    <row r="43" spans="1:15" ht="14.4">
      <c r="A43" s="21">
        <v>165</v>
      </c>
      <c r="B43" s="20" t="s">
        <v>13</v>
      </c>
      <c r="C43" s="20" t="s">
        <v>14</v>
      </c>
      <c r="D43" s="20" t="s">
        <v>352</v>
      </c>
      <c r="E43" s="21">
        <v>9555133345</v>
      </c>
      <c r="F43" s="19" t="s">
        <v>353</v>
      </c>
      <c r="G43" s="20" t="s">
        <v>56</v>
      </c>
      <c r="H43" s="21">
        <v>4.4000000000000004</v>
      </c>
      <c r="I43" s="21">
        <v>7</v>
      </c>
      <c r="J43" s="20" t="s">
        <v>56</v>
      </c>
      <c r="K43" s="20" t="s">
        <v>610</v>
      </c>
      <c r="L43" s="20" t="s">
        <v>621</v>
      </c>
      <c r="M43" s="20" t="s">
        <v>624</v>
      </c>
      <c r="N43" s="20" t="s">
        <v>624</v>
      </c>
      <c r="O43" s="21">
        <v>0.65</v>
      </c>
    </row>
    <row r="44" spans="1:15" ht="14.4">
      <c r="A44" s="21">
        <v>173</v>
      </c>
      <c r="B44" s="20" t="s">
        <v>25</v>
      </c>
      <c r="C44" s="20" t="s">
        <v>26</v>
      </c>
      <c r="D44" s="20" t="s">
        <v>369</v>
      </c>
      <c r="E44" s="21">
        <v>12122190521</v>
      </c>
      <c r="F44" s="19" t="s">
        <v>370</v>
      </c>
      <c r="G44" s="20" t="s">
        <v>325</v>
      </c>
      <c r="H44" s="21">
        <v>3.7</v>
      </c>
      <c r="I44" s="21">
        <v>28</v>
      </c>
      <c r="J44" s="20" t="s">
        <v>325</v>
      </c>
      <c r="K44" s="20" t="s">
        <v>613</v>
      </c>
      <c r="L44" s="20" t="s">
        <v>621</v>
      </c>
      <c r="M44" s="20" t="s">
        <v>624</v>
      </c>
      <c r="N44" s="20" t="s">
        <v>624</v>
      </c>
      <c r="O44" s="21">
        <v>1</v>
      </c>
    </row>
    <row r="45" spans="1:15" ht="14.4">
      <c r="A45" s="21">
        <v>209</v>
      </c>
      <c r="B45" s="20" t="s">
        <v>13</v>
      </c>
      <c r="C45" s="20" t="s">
        <v>14</v>
      </c>
      <c r="D45" s="20" t="s">
        <v>439</v>
      </c>
      <c r="E45" s="21">
        <v>9565553111</v>
      </c>
      <c r="F45" s="19" t="s">
        <v>440</v>
      </c>
      <c r="G45" s="20" t="s">
        <v>213</v>
      </c>
      <c r="H45" s="21">
        <v>3.8</v>
      </c>
      <c r="I45" s="21">
        <v>60</v>
      </c>
      <c r="J45" s="20" t="s">
        <v>213</v>
      </c>
      <c r="K45" s="20" t="s">
        <v>610</v>
      </c>
      <c r="L45" s="20" t="s">
        <v>621</v>
      </c>
      <c r="M45" s="20" t="s">
        <v>624</v>
      </c>
      <c r="N45" s="20" t="s">
        <v>624</v>
      </c>
      <c r="O45" s="21">
        <v>0.49</v>
      </c>
    </row>
    <row r="46" spans="1:15" ht="14.4">
      <c r="A46" s="21">
        <v>213</v>
      </c>
      <c r="B46" s="20" t="s">
        <v>25</v>
      </c>
      <c r="C46" s="20" t="s">
        <v>26</v>
      </c>
      <c r="D46" s="20" t="s">
        <v>369</v>
      </c>
      <c r="E46" s="21">
        <v>12122190521</v>
      </c>
      <c r="F46" s="19" t="s">
        <v>370</v>
      </c>
      <c r="G46" s="20" t="s">
        <v>325</v>
      </c>
      <c r="H46" s="21">
        <v>3.7</v>
      </c>
      <c r="I46" s="21">
        <v>28</v>
      </c>
      <c r="J46" s="20" t="s">
        <v>325</v>
      </c>
      <c r="K46" s="20" t="s">
        <v>613</v>
      </c>
      <c r="L46" s="20" t="s">
        <v>621</v>
      </c>
      <c r="M46" s="20" t="s">
        <v>624</v>
      </c>
      <c r="N46" s="20" t="s">
        <v>624</v>
      </c>
      <c r="O46" s="21">
        <v>1</v>
      </c>
    </row>
    <row r="47" spans="1:15" ht="14.4">
      <c r="A47" s="21">
        <v>215</v>
      </c>
      <c r="B47" s="20" t="s">
        <v>13</v>
      </c>
      <c r="C47" s="20" t="s">
        <v>14</v>
      </c>
      <c r="D47" s="20" t="s">
        <v>441</v>
      </c>
      <c r="E47" s="21">
        <v>9235604275</v>
      </c>
      <c r="F47" s="19" t="s">
        <v>442</v>
      </c>
      <c r="G47" s="20" t="s">
        <v>213</v>
      </c>
      <c r="H47" s="21">
        <v>4.2</v>
      </c>
      <c r="I47" s="21">
        <v>9</v>
      </c>
      <c r="J47" s="20" t="s">
        <v>213</v>
      </c>
      <c r="K47" s="20" t="s">
        <v>610</v>
      </c>
      <c r="L47" s="20" t="s">
        <v>621</v>
      </c>
      <c r="M47" s="20" t="s">
        <v>624</v>
      </c>
      <c r="N47" s="20" t="s">
        <v>624</v>
      </c>
      <c r="O47" s="21">
        <v>0.94</v>
      </c>
    </row>
    <row r="48" spans="1:15" ht="14.4">
      <c r="A48" s="21">
        <v>225</v>
      </c>
      <c r="B48" s="20" t="s">
        <v>13</v>
      </c>
      <c r="C48" s="20" t="s">
        <v>14</v>
      </c>
      <c r="D48" s="20" t="s">
        <v>461</v>
      </c>
      <c r="E48" s="21">
        <v>9336704363</v>
      </c>
      <c r="F48" s="19" t="s">
        <v>462</v>
      </c>
      <c r="G48" s="20" t="s">
        <v>213</v>
      </c>
      <c r="H48" s="21">
        <v>3.9</v>
      </c>
      <c r="I48" s="21">
        <v>34</v>
      </c>
      <c r="J48" s="20" t="s">
        <v>213</v>
      </c>
      <c r="K48" s="20" t="s">
        <v>610</v>
      </c>
      <c r="L48" s="20" t="s">
        <v>621</v>
      </c>
      <c r="M48" s="20" t="s">
        <v>624</v>
      </c>
      <c r="N48" s="20" t="s">
        <v>624</v>
      </c>
      <c r="O48" s="21">
        <v>0.91</v>
      </c>
    </row>
    <row r="49" spans="1:15" ht="14.4">
      <c r="A49" s="21">
        <v>226</v>
      </c>
      <c r="B49" s="20" t="s">
        <v>13</v>
      </c>
      <c r="C49" s="20" t="s">
        <v>14</v>
      </c>
      <c r="D49" s="20" t="s">
        <v>463</v>
      </c>
      <c r="E49" s="21">
        <v>7052646764</v>
      </c>
      <c r="F49" s="19" t="s">
        <v>464</v>
      </c>
      <c r="G49" s="20" t="s">
        <v>213</v>
      </c>
      <c r="H49" s="21">
        <v>3.7</v>
      </c>
      <c r="I49" s="21">
        <v>24</v>
      </c>
      <c r="J49" s="20" t="s">
        <v>213</v>
      </c>
      <c r="K49" s="20" t="s">
        <v>610</v>
      </c>
      <c r="L49" s="20" t="s">
        <v>621</v>
      </c>
      <c r="M49" s="20" t="s">
        <v>624</v>
      </c>
      <c r="N49" s="20" t="s">
        <v>624</v>
      </c>
      <c r="O49" s="21">
        <v>1</v>
      </c>
    </row>
    <row r="50" spans="1:15" ht="14.4">
      <c r="A50" s="21">
        <v>231</v>
      </c>
      <c r="B50" s="20" t="s">
        <v>25</v>
      </c>
      <c r="C50" s="20" t="s">
        <v>26</v>
      </c>
      <c r="D50" s="20" t="s">
        <v>473</v>
      </c>
      <c r="E50" s="21">
        <v>12122460187</v>
      </c>
      <c r="F50" s="19" t="s">
        <v>474</v>
      </c>
      <c r="G50" s="20" t="s">
        <v>325</v>
      </c>
      <c r="H50" s="21">
        <v>2.9</v>
      </c>
      <c r="I50" s="21">
        <v>130</v>
      </c>
      <c r="J50" s="20" t="s">
        <v>325</v>
      </c>
      <c r="K50" s="20" t="s">
        <v>613</v>
      </c>
      <c r="L50" s="20" t="s">
        <v>621</v>
      </c>
      <c r="M50" s="20" t="s">
        <v>624</v>
      </c>
      <c r="N50" s="20" t="s">
        <v>624</v>
      </c>
      <c r="O50" s="21">
        <v>0.74</v>
      </c>
    </row>
    <row r="51" spans="1:15" ht="14.4">
      <c r="A51" s="21">
        <v>234</v>
      </c>
      <c r="B51" s="20" t="s">
        <v>25</v>
      </c>
      <c r="C51" s="20" t="s">
        <v>26</v>
      </c>
      <c r="D51" s="20" t="s">
        <v>479</v>
      </c>
      <c r="E51" s="21">
        <v>19172572263</v>
      </c>
      <c r="F51" s="19" t="s">
        <v>480</v>
      </c>
      <c r="G51" s="20" t="s">
        <v>213</v>
      </c>
      <c r="H51" s="21">
        <v>3.9</v>
      </c>
      <c r="I51" s="21">
        <v>29</v>
      </c>
      <c r="J51" s="20" t="s">
        <v>213</v>
      </c>
      <c r="K51" s="20" t="s">
        <v>613</v>
      </c>
      <c r="L51" s="20" t="s">
        <v>621</v>
      </c>
      <c r="M51" s="20" t="s">
        <v>624</v>
      </c>
      <c r="N51" s="20" t="s">
        <v>624</v>
      </c>
      <c r="O51" s="21">
        <v>1</v>
      </c>
    </row>
    <row r="52" spans="1:15" ht="14.4">
      <c r="A52" s="21">
        <v>235</v>
      </c>
      <c r="B52" s="20" t="s">
        <v>13</v>
      </c>
      <c r="C52" s="20" t="s">
        <v>481</v>
      </c>
      <c r="D52" s="20" t="s">
        <v>482</v>
      </c>
      <c r="E52" s="21">
        <v>8578809997</v>
      </c>
      <c r="F52" s="19" t="s">
        <v>483</v>
      </c>
      <c r="G52" s="20" t="s">
        <v>61</v>
      </c>
      <c r="H52" s="21">
        <v>3.9</v>
      </c>
      <c r="I52" s="21">
        <v>44</v>
      </c>
      <c r="J52" s="20" t="s">
        <v>61</v>
      </c>
      <c r="K52" s="20" t="s">
        <v>610</v>
      </c>
      <c r="L52" s="20" t="s">
        <v>621</v>
      </c>
      <c r="M52" s="20" t="s">
        <v>624</v>
      </c>
      <c r="N52" s="20" t="s">
        <v>624</v>
      </c>
      <c r="O52" s="21">
        <v>0.97</v>
      </c>
    </row>
    <row r="53" spans="1:15" ht="14.4">
      <c r="A53" s="21">
        <v>236</v>
      </c>
      <c r="B53" s="20" t="s">
        <v>13</v>
      </c>
      <c r="C53" s="20" t="s">
        <v>481</v>
      </c>
      <c r="D53" s="20" t="s">
        <v>484</v>
      </c>
      <c r="E53" s="21">
        <v>9386063660</v>
      </c>
      <c r="F53" s="19" t="s">
        <v>485</v>
      </c>
      <c r="G53" s="20" t="s">
        <v>61</v>
      </c>
      <c r="H53" s="21">
        <v>4.3</v>
      </c>
      <c r="I53" s="21">
        <v>7</v>
      </c>
      <c r="J53" s="20" t="s">
        <v>61</v>
      </c>
      <c r="K53" s="20" t="s">
        <v>610</v>
      </c>
      <c r="L53" s="20" t="s">
        <v>621</v>
      </c>
      <c r="M53" s="20" t="s">
        <v>624</v>
      </c>
      <c r="N53" s="20" t="s">
        <v>624</v>
      </c>
      <c r="O53" s="21">
        <v>0.93</v>
      </c>
    </row>
    <row r="54" spans="1:15" ht="14.4">
      <c r="A54" s="21">
        <v>239</v>
      </c>
      <c r="B54" s="20" t="s">
        <v>13</v>
      </c>
      <c r="C54" s="20" t="s">
        <v>481</v>
      </c>
      <c r="D54" s="20" t="s">
        <v>490</v>
      </c>
      <c r="E54" s="21">
        <v>9304289891</v>
      </c>
      <c r="F54" s="19" t="s">
        <v>491</v>
      </c>
      <c r="G54" s="20" t="s">
        <v>61</v>
      </c>
      <c r="H54" s="21">
        <v>3.9</v>
      </c>
      <c r="I54" s="21">
        <v>21</v>
      </c>
      <c r="J54" s="20" t="s">
        <v>61</v>
      </c>
      <c r="K54" s="20" t="s">
        <v>610</v>
      </c>
      <c r="L54" s="20" t="s">
        <v>621</v>
      </c>
      <c r="M54" s="20" t="s">
        <v>624</v>
      </c>
      <c r="N54" s="20" t="s">
        <v>624</v>
      </c>
      <c r="O54" s="21">
        <v>1</v>
      </c>
    </row>
    <row r="55" spans="1:15" ht="14.4">
      <c r="A55" s="21">
        <v>243</v>
      </c>
      <c r="B55" s="20" t="s">
        <v>13</v>
      </c>
      <c r="C55" s="20" t="s">
        <v>481</v>
      </c>
      <c r="D55" s="20" t="s">
        <v>498</v>
      </c>
      <c r="E55" s="21">
        <v>9835286712</v>
      </c>
      <c r="F55" s="19" t="s">
        <v>499</v>
      </c>
      <c r="G55" s="20" t="s">
        <v>61</v>
      </c>
      <c r="H55" s="21">
        <v>4.5999999999999996</v>
      </c>
      <c r="I55" s="21">
        <v>5</v>
      </c>
      <c r="J55" s="20" t="s">
        <v>61</v>
      </c>
      <c r="K55" s="20" t="s">
        <v>610</v>
      </c>
      <c r="L55" s="20" t="s">
        <v>621</v>
      </c>
      <c r="M55" s="20" t="s">
        <v>624</v>
      </c>
      <c r="N55" s="20" t="s">
        <v>624</v>
      </c>
      <c r="O55" s="21">
        <v>0.73</v>
      </c>
    </row>
    <row r="56" spans="1:15" ht="14.4">
      <c r="A56" s="21">
        <v>244</v>
      </c>
      <c r="B56" s="20" t="s">
        <v>13</v>
      </c>
      <c r="C56" s="20" t="s">
        <v>481</v>
      </c>
      <c r="D56" s="20" t="s">
        <v>500</v>
      </c>
      <c r="E56" s="21">
        <v>6122281025</v>
      </c>
      <c r="F56" s="19" t="s">
        <v>501</v>
      </c>
      <c r="G56" s="20" t="s">
        <v>61</v>
      </c>
      <c r="H56" s="21">
        <v>4</v>
      </c>
      <c r="I56" s="21">
        <v>11</v>
      </c>
      <c r="J56" s="20" t="s">
        <v>61</v>
      </c>
      <c r="K56" s="20" t="s">
        <v>610</v>
      </c>
      <c r="L56" s="20" t="s">
        <v>621</v>
      </c>
      <c r="M56" s="20" t="s">
        <v>624</v>
      </c>
      <c r="N56" s="20" t="s">
        <v>624</v>
      </c>
      <c r="O56" s="21">
        <v>0.99</v>
      </c>
    </row>
    <row r="57" spans="1:15" ht="14.4">
      <c r="A57" s="21">
        <v>245</v>
      </c>
      <c r="B57" s="20" t="s">
        <v>13</v>
      </c>
      <c r="C57" s="20" t="s">
        <v>481</v>
      </c>
      <c r="D57" s="20" t="s">
        <v>502</v>
      </c>
      <c r="E57" s="21">
        <v>9608245629</v>
      </c>
      <c r="F57" s="19" t="s">
        <v>503</v>
      </c>
      <c r="G57" s="20" t="s">
        <v>61</v>
      </c>
      <c r="H57" s="21">
        <v>4</v>
      </c>
      <c r="I57" s="21">
        <v>6</v>
      </c>
      <c r="J57" s="20" t="s">
        <v>61</v>
      </c>
      <c r="K57" s="20" t="s">
        <v>610</v>
      </c>
      <c r="L57" s="20" t="s">
        <v>621</v>
      </c>
      <c r="M57" s="20" t="s">
        <v>624</v>
      </c>
      <c r="N57" s="20" t="s">
        <v>624</v>
      </c>
      <c r="O57" s="21">
        <v>1</v>
      </c>
    </row>
    <row r="58" spans="1:15" ht="14.4">
      <c r="A58" s="21">
        <v>246</v>
      </c>
      <c r="B58" s="20" t="s">
        <v>13</v>
      </c>
      <c r="C58" s="20" t="s">
        <v>481</v>
      </c>
      <c r="D58" s="20" t="s">
        <v>504</v>
      </c>
      <c r="E58" s="21">
        <v>9113305192</v>
      </c>
      <c r="F58" s="19" t="s">
        <v>505</v>
      </c>
      <c r="G58" s="20" t="s">
        <v>61</v>
      </c>
      <c r="H58" s="21">
        <v>4.7</v>
      </c>
      <c r="I58" s="21">
        <v>3</v>
      </c>
      <c r="J58" s="20" t="s">
        <v>61</v>
      </c>
      <c r="K58" s="20" t="s">
        <v>610</v>
      </c>
      <c r="L58" s="20" t="s">
        <v>621</v>
      </c>
      <c r="M58" s="20" t="s">
        <v>624</v>
      </c>
      <c r="N58" s="20" t="s">
        <v>624</v>
      </c>
      <c r="O58" s="21">
        <v>0.93</v>
      </c>
    </row>
    <row r="59" spans="1:15" ht="14.4">
      <c r="A59" s="21">
        <v>247</v>
      </c>
      <c r="B59" s="20" t="s">
        <v>13</v>
      </c>
      <c r="C59" s="20" t="s">
        <v>481</v>
      </c>
      <c r="D59" s="20" t="s">
        <v>506</v>
      </c>
      <c r="E59" s="21">
        <v>7004996603</v>
      </c>
      <c r="F59" s="19" t="s">
        <v>507</v>
      </c>
      <c r="G59" s="20" t="s">
        <v>61</v>
      </c>
      <c r="H59" s="21">
        <v>3.8</v>
      </c>
      <c r="I59" s="21">
        <v>56</v>
      </c>
      <c r="J59" s="20" t="s">
        <v>61</v>
      </c>
      <c r="K59" s="20" t="s">
        <v>610</v>
      </c>
      <c r="L59" s="20" t="s">
        <v>621</v>
      </c>
      <c r="M59" s="20" t="s">
        <v>624</v>
      </c>
      <c r="N59" s="20" t="s">
        <v>624</v>
      </c>
      <c r="O59" s="21">
        <v>0.91</v>
      </c>
    </row>
    <row r="60" spans="1:15" ht="14.4">
      <c r="A60" s="21">
        <v>248</v>
      </c>
      <c r="B60" s="20" t="s">
        <v>13</v>
      </c>
      <c r="C60" s="20" t="s">
        <v>481</v>
      </c>
      <c r="D60" s="20" t="s">
        <v>508</v>
      </c>
      <c r="E60" s="21">
        <v>9386803691</v>
      </c>
      <c r="F60" s="19" t="s">
        <v>509</v>
      </c>
      <c r="G60" s="20" t="s">
        <v>61</v>
      </c>
      <c r="H60" s="21">
        <v>4</v>
      </c>
      <c r="I60" s="21">
        <v>8</v>
      </c>
      <c r="J60" s="20" t="s">
        <v>61</v>
      </c>
      <c r="K60" s="20" t="s">
        <v>610</v>
      </c>
      <c r="L60" s="20" t="s">
        <v>621</v>
      </c>
      <c r="M60" s="20" t="s">
        <v>624</v>
      </c>
      <c r="N60" s="20" t="s">
        <v>624</v>
      </c>
      <c r="O60" s="21">
        <v>1</v>
      </c>
    </row>
    <row r="61" spans="1:15" ht="14.4">
      <c r="A61" s="21">
        <v>249</v>
      </c>
      <c r="B61" s="20" t="s">
        <v>13</v>
      </c>
      <c r="C61" s="20" t="s">
        <v>481</v>
      </c>
      <c r="D61" s="20" t="s">
        <v>510</v>
      </c>
      <c r="E61" s="21">
        <v>9801835490</v>
      </c>
      <c r="F61" s="19" t="s">
        <v>511</v>
      </c>
      <c r="G61" s="20" t="s">
        <v>61</v>
      </c>
      <c r="H61" s="21">
        <v>3.9</v>
      </c>
      <c r="I61" s="21">
        <v>18</v>
      </c>
      <c r="J61" s="20" t="s">
        <v>61</v>
      </c>
      <c r="K61" s="20" t="s">
        <v>610</v>
      </c>
      <c r="L61" s="20" t="s">
        <v>621</v>
      </c>
      <c r="M61" s="20" t="s">
        <v>624</v>
      </c>
      <c r="N61" s="20" t="s">
        <v>624</v>
      </c>
      <c r="O61" s="21">
        <v>1</v>
      </c>
    </row>
    <row r="62" spans="1:15" ht="14.4">
      <c r="A62" s="21">
        <v>260</v>
      </c>
      <c r="B62" s="20" t="s">
        <v>13</v>
      </c>
      <c r="C62" s="20" t="s">
        <v>481</v>
      </c>
      <c r="D62" s="20" t="s">
        <v>532</v>
      </c>
      <c r="E62" s="21">
        <v>9430270997</v>
      </c>
      <c r="F62" s="19" t="s">
        <v>533</v>
      </c>
      <c r="G62" s="20" t="s">
        <v>61</v>
      </c>
      <c r="H62" s="21">
        <v>3.6</v>
      </c>
      <c r="I62" s="21">
        <v>54</v>
      </c>
      <c r="J62" s="20" t="s">
        <v>61</v>
      </c>
      <c r="K62" s="20" t="s">
        <v>610</v>
      </c>
      <c r="L62" s="20" t="s">
        <v>621</v>
      </c>
      <c r="M62" s="20" t="s">
        <v>624</v>
      </c>
      <c r="N62" s="20" t="s">
        <v>624</v>
      </c>
      <c r="O62" s="21">
        <v>0.97</v>
      </c>
    </row>
    <row r="63" spans="1:15" ht="14.4">
      <c r="A63" s="21">
        <v>261</v>
      </c>
      <c r="B63" s="20" t="s">
        <v>13</v>
      </c>
      <c r="C63" s="20" t="s">
        <v>481</v>
      </c>
      <c r="D63" s="20" t="s">
        <v>534</v>
      </c>
      <c r="E63" s="21">
        <v>9931714161</v>
      </c>
      <c r="F63" s="19" t="s">
        <v>535</v>
      </c>
      <c r="G63" s="20" t="s">
        <v>61</v>
      </c>
      <c r="H63" s="21">
        <v>4</v>
      </c>
      <c r="I63" s="21">
        <v>26</v>
      </c>
      <c r="J63" s="20" t="s">
        <v>61</v>
      </c>
      <c r="K63" s="20" t="s">
        <v>610</v>
      </c>
      <c r="L63" s="20" t="s">
        <v>621</v>
      </c>
      <c r="M63" s="20" t="s">
        <v>624</v>
      </c>
      <c r="N63" s="20" t="s">
        <v>624</v>
      </c>
      <c r="O63" s="21">
        <v>0.81</v>
      </c>
    </row>
    <row r="64" spans="1:15" ht="14.4">
      <c r="A64" s="21">
        <v>275</v>
      </c>
      <c r="B64" s="20" t="s">
        <v>13</v>
      </c>
      <c r="C64" s="20" t="s">
        <v>481</v>
      </c>
      <c r="D64" s="20" t="s">
        <v>562</v>
      </c>
      <c r="E64" s="21">
        <v>9693837617</v>
      </c>
      <c r="F64" s="19" t="s">
        <v>563</v>
      </c>
      <c r="G64" s="20" t="s">
        <v>61</v>
      </c>
      <c r="H64" s="21">
        <v>4.3</v>
      </c>
      <c r="I64" s="21">
        <v>6</v>
      </c>
      <c r="J64" s="20" t="s">
        <v>61</v>
      </c>
      <c r="K64" s="20" t="s">
        <v>610</v>
      </c>
      <c r="L64" s="20" t="s">
        <v>621</v>
      </c>
      <c r="M64" s="20" t="s">
        <v>624</v>
      </c>
      <c r="N64" s="20" t="s">
        <v>624</v>
      </c>
      <c r="O64" s="21">
        <v>0.98</v>
      </c>
    </row>
    <row r="65" spans="1:15" ht="14.4">
      <c r="A65" s="21">
        <v>276</v>
      </c>
      <c r="B65" s="20" t="s">
        <v>13</v>
      </c>
      <c r="C65" s="20" t="s">
        <v>481</v>
      </c>
      <c r="D65" s="20" t="s">
        <v>564</v>
      </c>
      <c r="E65" s="21">
        <v>9608266633</v>
      </c>
      <c r="F65" s="19" t="s">
        <v>565</v>
      </c>
      <c r="G65" s="20" t="s">
        <v>61</v>
      </c>
      <c r="H65" s="21">
        <v>4.2</v>
      </c>
      <c r="I65" s="21">
        <v>10</v>
      </c>
      <c r="J65" s="20" t="s">
        <v>61</v>
      </c>
      <c r="K65" s="20" t="s">
        <v>610</v>
      </c>
      <c r="L65" s="20" t="s">
        <v>621</v>
      </c>
      <c r="M65" s="20" t="s">
        <v>624</v>
      </c>
      <c r="N65" s="20" t="s">
        <v>624</v>
      </c>
      <c r="O65" s="21">
        <v>0.92</v>
      </c>
    </row>
    <row r="66" spans="1:15" ht="14.4">
      <c r="A66" s="21">
        <v>277</v>
      </c>
      <c r="B66" s="20" t="s">
        <v>13</v>
      </c>
      <c r="C66" s="20" t="s">
        <v>481</v>
      </c>
      <c r="D66" s="20" t="s">
        <v>566</v>
      </c>
      <c r="E66" s="21">
        <v>9905050226</v>
      </c>
      <c r="F66" s="19" t="s">
        <v>567</v>
      </c>
      <c r="G66" s="20" t="s">
        <v>61</v>
      </c>
      <c r="H66" s="21">
        <v>2.2999999999999998</v>
      </c>
      <c r="I66" s="21">
        <v>3</v>
      </c>
      <c r="J66" s="20" t="s">
        <v>61</v>
      </c>
      <c r="K66" s="20" t="s">
        <v>610</v>
      </c>
      <c r="L66" s="20" t="s">
        <v>621</v>
      </c>
      <c r="M66" s="20" t="s">
        <v>624</v>
      </c>
      <c r="N66" s="20" t="s">
        <v>624</v>
      </c>
      <c r="O66" s="21">
        <v>0.99</v>
      </c>
    </row>
    <row r="67" spans="1:15" ht="14.4">
      <c r="A67" s="21">
        <v>278</v>
      </c>
      <c r="B67" s="20" t="s">
        <v>13</v>
      </c>
      <c r="C67" s="20" t="s">
        <v>481</v>
      </c>
      <c r="D67" s="20" t="s">
        <v>568</v>
      </c>
      <c r="E67" s="21">
        <v>8873759590</v>
      </c>
      <c r="F67" s="19" t="s">
        <v>569</v>
      </c>
      <c r="G67" s="20" t="s">
        <v>61</v>
      </c>
      <c r="H67" s="21">
        <v>3.9</v>
      </c>
      <c r="I67" s="21">
        <v>19</v>
      </c>
      <c r="J67" s="20" t="s">
        <v>61</v>
      </c>
      <c r="K67" s="20" t="s">
        <v>610</v>
      </c>
      <c r="L67" s="20" t="s">
        <v>621</v>
      </c>
      <c r="M67" s="20" t="s">
        <v>624</v>
      </c>
      <c r="N67" s="20" t="s">
        <v>624</v>
      </c>
      <c r="O67" s="21">
        <v>1</v>
      </c>
    </row>
    <row r="68" spans="1:15" ht="14.4">
      <c r="A68" s="21">
        <v>283</v>
      </c>
      <c r="B68" s="20" t="s">
        <v>13</v>
      </c>
      <c r="C68" s="20" t="s">
        <v>481</v>
      </c>
      <c r="D68" s="20" t="s">
        <v>578</v>
      </c>
      <c r="E68" s="21">
        <v>7544824817</v>
      </c>
      <c r="F68" s="19" t="s">
        <v>579</v>
      </c>
      <c r="G68" s="20" t="s">
        <v>61</v>
      </c>
      <c r="H68" s="21">
        <v>2.2999999999999998</v>
      </c>
      <c r="I68" s="21">
        <v>4</v>
      </c>
      <c r="J68" s="20" t="s">
        <v>61</v>
      </c>
      <c r="K68" s="20" t="s">
        <v>610</v>
      </c>
      <c r="L68" s="20" t="s">
        <v>621</v>
      </c>
      <c r="M68" s="20" t="s">
        <v>624</v>
      </c>
      <c r="N68" s="20" t="s">
        <v>624</v>
      </c>
      <c r="O68" s="21">
        <v>1</v>
      </c>
    </row>
    <row r="69" spans="1:15" ht="14.4">
      <c r="A69" s="21">
        <v>285</v>
      </c>
      <c r="B69" s="20" t="s">
        <v>13</v>
      </c>
      <c r="C69" s="20" t="s">
        <v>481</v>
      </c>
      <c r="D69" s="20" t="s">
        <v>582</v>
      </c>
      <c r="E69" s="21">
        <v>9386773875</v>
      </c>
      <c r="F69" s="19" t="s">
        <v>583</v>
      </c>
      <c r="G69" s="20" t="s">
        <v>61</v>
      </c>
      <c r="H69" s="21">
        <v>4</v>
      </c>
      <c r="I69" s="21">
        <v>3</v>
      </c>
      <c r="J69" s="20" t="s">
        <v>61</v>
      </c>
      <c r="K69" s="20" t="s">
        <v>610</v>
      </c>
      <c r="L69" s="20" t="s">
        <v>621</v>
      </c>
      <c r="M69" s="20" t="s">
        <v>624</v>
      </c>
      <c r="N69" s="20" t="s">
        <v>624</v>
      </c>
      <c r="O69" s="21">
        <v>0.99</v>
      </c>
    </row>
    <row r="70" spans="1:15" ht="14.4">
      <c r="A70" s="21">
        <v>289</v>
      </c>
      <c r="B70" s="20" t="s">
        <v>25</v>
      </c>
      <c r="C70" s="20" t="s">
        <v>26</v>
      </c>
      <c r="D70" s="20" t="s">
        <v>590</v>
      </c>
      <c r="E70" s="21">
        <v>12127533990</v>
      </c>
      <c r="F70" s="19" t="s">
        <v>591</v>
      </c>
      <c r="G70" s="20" t="s">
        <v>242</v>
      </c>
      <c r="H70" s="21">
        <v>4.2</v>
      </c>
      <c r="I70" s="21">
        <v>14</v>
      </c>
      <c r="J70" s="20" t="s">
        <v>242</v>
      </c>
      <c r="K70" s="20" t="s">
        <v>613</v>
      </c>
      <c r="L70" s="20" t="s">
        <v>621</v>
      </c>
      <c r="M70" s="20" t="s">
        <v>624</v>
      </c>
      <c r="N70" s="20" t="s">
        <v>624</v>
      </c>
      <c r="O70" s="21">
        <v>0.84</v>
      </c>
    </row>
    <row r="71" spans="1:15" ht="14.4">
      <c r="A71" s="21">
        <v>290</v>
      </c>
      <c r="B71" s="20" t="s">
        <v>25</v>
      </c>
      <c r="C71" s="20" t="s">
        <v>26</v>
      </c>
      <c r="D71" s="20" t="s">
        <v>592</v>
      </c>
      <c r="E71" s="21">
        <v>17183923382</v>
      </c>
      <c r="F71" s="19" t="s">
        <v>593</v>
      </c>
      <c r="G71" s="20" t="s">
        <v>242</v>
      </c>
      <c r="H71" s="21">
        <v>3.9</v>
      </c>
      <c r="I71" s="21">
        <v>18</v>
      </c>
      <c r="J71" s="20" t="s">
        <v>242</v>
      </c>
      <c r="K71" s="20" t="s">
        <v>613</v>
      </c>
      <c r="L71" s="20" t="s">
        <v>621</v>
      </c>
      <c r="M71" s="20" t="s">
        <v>624</v>
      </c>
      <c r="N71" s="20" t="s">
        <v>624</v>
      </c>
      <c r="O71" s="21">
        <v>1</v>
      </c>
    </row>
  </sheetData>
  <hyperlinks>
    <hyperlink ref="A1" r:id="rId1" xr:uid="{00000000-0004-0000-0600-000000000000}"/>
    <hyperlink ref="F2" r:id="rId2" xr:uid="{00000000-0004-0000-0600-000001000000}"/>
    <hyperlink ref="F3" r:id="rId3" xr:uid="{00000000-0004-0000-0600-000002000000}"/>
    <hyperlink ref="F4" r:id="rId4" xr:uid="{00000000-0004-0000-0600-000003000000}"/>
    <hyperlink ref="F5" r:id="rId5" xr:uid="{00000000-0004-0000-0600-000004000000}"/>
    <hyperlink ref="F6" r:id="rId6" xr:uid="{00000000-0004-0000-0600-000005000000}"/>
    <hyperlink ref="F7" r:id="rId7" xr:uid="{00000000-0004-0000-0600-000006000000}"/>
    <hyperlink ref="F8" r:id="rId8" xr:uid="{00000000-0004-0000-0600-000007000000}"/>
    <hyperlink ref="F9" r:id="rId9" xr:uid="{00000000-0004-0000-0600-000008000000}"/>
    <hyperlink ref="F10" r:id="rId10" xr:uid="{00000000-0004-0000-0600-000009000000}"/>
    <hyperlink ref="F11" r:id="rId11" xr:uid="{00000000-0004-0000-0600-00000A000000}"/>
    <hyperlink ref="F12" r:id="rId12" xr:uid="{00000000-0004-0000-0600-00000B000000}"/>
    <hyperlink ref="F13" r:id="rId13" xr:uid="{00000000-0004-0000-0600-00000C000000}"/>
    <hyperlink ref="F14" r:id="rId14" xr:uid="{00000000-0004-0000-0600-00000D000000}"/>
    <hyperlink ref="F15" r:id="rId15" xr:uid="{00000000-0004-0000-0600-00000E000000}"/>
    <hyperlink ref="F16" r:id="rId16" xr:uid="{00000000-0004-0000-0600-00000F000000}"/>
    <hyperlink ref="F17" r:id="rId17" xr:uid="{00000000-0004-0000-0600-000010000000}"/>
    <hyperlink ref="F18" r:id="rId18" xr:uid="{00000000-0004-0000-0600-000011000000}"/>
    <hyperlink ref="F19" r:id="rId19" xr:uid="{00000000-0004-0000-0600-000012000000}"/>
    <hyperlink ref="F20" r:id="rId20" xr:uid="{00000000-0004-0000-0600-000013000000}"/>
    <hyperlink ref="F21" r:id="rId21" xr:uid="{00000000-0004-0000-0600-000014000000}"/>
    <hyperlink ref="F22" r:id="rId22" xr:uid="{00000000-0004-0000-0600-000015000000}"/>
    <hyperlink ref="F23" r:id="rId23" xr:uid="{00000000-0004-0000-0600-000016000000}"/>
    <hyperlink ref="F24" r:id="rId24" xr:uid="{00000000-0004-0000-0600-000017000000}"/>
    <hyperlink ref="F25" r:id="rId25" xr:uid="{00000000-0004-0000-0600-000018000000}"/>
    <hyperlink ref="F26" r:id="rId26" xr:uid="{00000000-0004-0000-0600-000019000000}"/>
    <hyperlink ref="F27" r:id="rId27" xr:uid="{00000000-0004-0000-0600-00001A000000}"/>
    <hyperlink ref="F28" r:id="rId28" xr:uid="{00000000-0004-0000-0600-00001B000000}"/>
    <hyperlink ref="F29" r:id="rId29" xr:uid="{00000000-0004-0000-0600-00001C000000}"/>
    <hyperlink ref="F30" r:id="rId30" xr:uid="{00000000-0004-0000-0600-00001D000000}"/>
    <hyperlink ref="F31" r:id="rId31" xr:uid="{00000000-0004-0000-0600-00001E000000}"/>
    <hyperlink ref="F32" r:id="rId32" xr:uid="{00000000-0004-0000-0600-00001F000000}"/>
    <hyperlink ref="F33" r:id="rId33" xr:uid="{00000000-0004-0000-0600-000020000000}"/>
    <hyperlink ref="D34" r:id="rId34" xr:uid="{00000000-0004-0000-0600-000021000000}"/>
    <hyperlink ref="F34" r:id="rId35" xr:uid="{00000000-0004-0000-0600-000022000000}"/>
    <hyperlink ref="F35" r:id="rId36" xr:uid="{00000000-0004-0000-0600-000023000000}"/>
    <hyperlink ref="F36" r:id="rId37" xr:uid="{00000000-0004-0000-0600-000024000000}"/>
    <hyperlink ref="F37" r:id="rId38" xr:uid="{00000000-0004-0000-0600-000025000000}"/>
    <hyperlink ref="F38" r:id="rId39" xr:uid="{00000000-0004-0000-0600-000026000000}"/>
    <hyperlink ref="F39" r:id="rId40" xr:uid="{00000000-0004-0000-0600-000027000000}"/>
    <hyperlink ref="F40" r:id="rId41" xr:uid="{00000000-0004-0000-0600-000028000000}"/>
    <hyperlink ref="F41" r:id="rId42" xr:uid="{00000000-0004-0000-0600-000029000000}"/>
    <hyperlink ref="F42" r:id="rId43" xr:uid="{00000000-0004-0000-0600-00002A000000}"/>
    <hyperlink ref="F43" r:id="rId44" xr:uid="{00000000-0004-0000-0600-00002B000000}"/>
    <hyperlink ref="F44" r:id="rId45" xr:uid="{00000000-0004-0000-0600-00002C000000}"/>
    <hyperlink ref="F45" r:id="rId46" xr:uid="{00000000-0004-0000-0600-00002D000000}"/>
    <hyperlink ref="F46" r:id="rId47" xr:uid="{00000000-0004-0000-0600-00002E000000}"/>
    <hyperlink ref="F47" r:id="rId48" xr:uid="{00000000-0004-0000-0600-00002F000000}"/>
    <hyperlink ref="F48" r:id="rId49" xr:uid="{00000000-0004-0000-0600-000030000000}"/>
    <hyperlink ref="F49" r:id="rId50" xr:uid="{00000000-0004-0000-0600-000031000000}"/>
    <hyperlink ref="F50" r:id="rId51" xr:uid="{00000000-0004-0000-0600-000032000000}"/>
    <hyperlink ref="F51" r:id="rId52" xr:uid="{00000000-0004-0000-0600-000033000000}"/>
    <hyperlink ref="F52" r:id="rId53" xr:uid="{00000000-0004-0000-0600-000034000000}"/>
    <hyperlink ref="F53" r:id="rId54" xr:uid="{00000000-0004-0000-0600-000035000000}"/>
    <hyperlink ref="F54" r:id="rId55" xr:uid="{00000000-0004-0000-0600-000036000000}"/>
    <hyperlink ref="F55" r:id="rId56" xr:uid="{00000000-0004-0000-0600-000037000000}"/>
    <hyperlink ref="F56" r:id="rId57" xr:uid="{00000000-0004-0000-0600-000038000000}"/>
    <hyperlink ref="F57" r:id="rId58" xr:uid="{00000000-0004-0000-0600-000039000000}"/>
    <hyperlink ref="F58" r:id="rId59" xr:uid="{00000000-0004-0000-0600-00003A000000}"/>
    <hyperlink ref="F59" r:id="rId60" xr:uid="{00000000-0004-0000-0600-00003B000000}"/>
    <hyperlink ref="F60" r:id="rId61" xr:uid="{00000000-0004-0000-0600-00003C000000}"/>
    <hyperlink ref="F61" r:id="rId62" xr:uid="{00000000-0004-0000-0600-00003D000000}"/>
    <hyperlink ref="F62" r:id="rId63" xr:uid="{00000000-0004-0000-0600-00003E000000}"/>
    <hyperlink ref="F63" r:id="rId64" xr:uid="{00000000-0004-0000-0600-00003F000000}"/>
    <hyperlink ref="F64" r:id="rId65" xr:uid="{00000000-0004-0000-0600-000040000000}"/>
    <hyperlink ref="F65" r:id="rId66" xr:uid="{00000000-0004-0000-0600-000041000000}"/>
    <hyperlink ref="F66" r:id="rId67" xr:uid="{00000000-0004-0000-0600-000042000000}"/>
    <hyperlink ref="F67" r:id="rId68" xr:uid="{00000000-0004-0000-0600-000043000000}"/>
    <hyperlink ref="F68" r:id="rId69" xr:uid="{00000000-0004-0000-0600-000044000000}"/>
    <hyperlink ref="F69" r:id="rId70" xr:uid="{00000000-0004-0000-0600-000045000000}"/>
    <hyperlink ref="F70" r:id="rId71" xr:uid="{00000000-0004-0000-0600-000046000000}"/>
    <hyperlink ref="F71" r:id="rId72" xr:uid="{00000000-0004-0000-0600-000047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4"/>
  <sheetViews>
    <sheetView workbookViewId="0"/>
  </sheetViews>
  <sheetFormatPr defaultColWidth="12.6640625" defaultRowHeight="15.75" customHeight="1"/>
  <sheetData>
    <row r="1" spans="1:17" ht="15.75" customHeight="1">
      <c r="A1" s="19" t="s">
        <v>0</v>
      </c>
      <c r="B1" s="20" t="s">
        <v>1</v>
      </c>
      <c r="C1" s="20" t="s">
        <v>2</v>
      </c>
      <c r="D1" s="20" t="s">
        <v>3</v>
      </c>
      <c r="E1" s="20" t="s">
        <v>8</v>
      </c>
      <c r="F1" s="20" t="s">
        <v>9</v>
      </c>
      <c r="G1" s="20" t="s">
        <v>10</v>
      </c>
      <c r="H1" s="20" t="s">
        <v>11</v>
      </c>
      <c r="I1" s="20" t="s">
        <v>12</v>
      </c>
      <c r="J1" s="20" t="s">
        <v>606</v>
      </c>
      <c r="K1" s="20" t="s">
        <v>607</v>
      </c>
      <c r="L1" s="20" t="s">
        <v>618</v>
      </c>
      <c r="M1" s="20" t="s">
        <v>619</v>
      </c>
      <c r="N1" s="20" t="s">
        <v>625</v>
      </c>
      <c r="O1" s="20" t="s">
        <v>626</v>
      </c>
      <c r="P1" s="20" t="s">
        <v>620</v>
      </c>
      <c r="Q1" s="20" t="s">
        <v>608</v>
      </c>
    </row>
    <row r="2" spans="1:17" ht="15.75" customHeight="1">
      <c r="A2" s="21">
        <v>190</v>
      </c>
      <c r="B2" s="20" t="s">
        <v>25</v>
      </c>
      <c r="C2" s="20" t="s">
        <v>26</v>
      </c>
      <c r="D2" s="20" t="s">
        <v>401</v>
      </c>
      <c r="E2" s="21">
        <v>15486006980</v>
      </c>
      <c r="F2" s="19" t="s">
        <v>402</v>
      </c>
      <c r="G2" s="20" t="s">
        <v>615</v>
      </c>
      <c r="H2" s="21">
        <v>0</v>
      </c>
      <c r="I2" s="21">
        <v>0</v>
      </c>
      <c r="J2" s="20" t="s">
        <v>615</v>
      </c>
      <c r="K2" s="20" t="s">
        <v>613</v>
      </c>
      <c r="L2" s="20" t="s">
        <v>612</v>
      </c>
      <c r="M2" s="20" t="s">
        <v>612</v>
      </c>
      <c r="N2" s="21">
        <v>23</v>
      </c>
      <c r="O2" s="21">
        <v>0</v>
      </c>
      <c r="P2" s="20" t="s">
        <v>612</v>
      </c>
      <c r="Q2" s="20" t="s">
        <v>612</v>
      </c>
    </row>
    <row r="3" spans="1:17" ht="15.75" customHeight="1">
      <c r="A3" s="21">
        <v>286</v>
      </c>
      <c r="B3" s="20" t="s">
        <v>13</v>
      </c>
      <c r="C3" s="20" t="s">
        <v>481</v>
      </c>
      <c r="D3" s="20" t="s">
        <v>584</v>
      </c>
      <c r="E3" s="21">
        <v>7488074261</v>
      </c>
      <c r="F3" s="19" t="s">
        <v>585</v>
      </c>
      <c r="G3" s="20" t="s">
        <v>61</v>
      </c>
      <c r="H3" s="21">
        <v>0</v>
      </c>
      <c r="I3" s="21">
        <v>0</v>
      </c>
      <c r="J3" s="20" t="s">
        <v>61</v>
      </c>
      <c r="K3" s="20" t="s">
        <v>610</v>
      </c>
      <c r="L3" s="20" t="s">
        <v>612</v>
      </c>
      <c r="M3" s="20" t="s">
        <v>612</v>
      </c>
      <c r="N3" s="21">
        <v>16</v>
      </c>
      <c r="O3" s="21">
        <v>0</v>
      </c>
      <c r="P3" s="20" t="s">
        <v>612</v>
      </c>
      <c r="Q3" s="20" t="s">
        <v>612</v>
      </c>
    </row>
    <row r="4" spans="1:17" ht="15.75" customHeight="1">
      <c r="A4" s="21">
        <v>295</v>
      </c>
      <c r="B4" s="20" t="s">
        <v>13</v>
      </c>
      <c r="C4" s="20" t="s">
        <v>481</v>
      </c>
      <c r="D4" s="20" t="s">
        <v>508</v>
      </c>
      <c r="E4" s="21">
        <v>8210184659</v>
      </c>
      <c r="F4" s="19" t="s">
        <v>601</v>
      </c>
      <c r="G4" s="20" t="s">
        <v>61</v>
      </c>
      <c r="H4" s="21">
        <v>0</v>
      </c>
      <c r="I4" s="21">
        <v>0</v>
      </c>
      <c r="J4" s="20" t="s">
        <v>61</v>
      </c>
      <c r="K4" s="20" t="s">
        <v>610</v>
      </c>
      <c r="L4" s="20" t="s">
        <v>612</v>
      </c>
      <c r="M4" s="20" t="s">
        <v>612</v>
      </c>
      <c r="N4" s="21">
        <v>18</v>
      </c>
      <c r="O4" s="21">
        <v>0</v>
      </c>
      <c r="P4" s="20" t="s">
        <v>612</v>
      </c>
      <c r="Q4" s="20" t="s">
        <v>612</v>
      </c>
    </row>
  </sheetData>
  <hyperlinks>
    <hyperlink ref="A1" r:id="rId1" xr:uid="{00000000-0004-0000-0700-000000000000}"/>
    <hyperlink ref="F2" r:id="rId2" xr:uid="{00000000-0004-0000-0700-000001000000}"/>
    <hyperlink ref="F3" r:id="rId3" xr:uid="{00000000-0004-0000-0700-000002000000}"/>
    <hyperlink ref="F4" r:id="rId4" xr:uid="{00000000-0004-0000-0700-000003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4"/>
  <sheetViews>
    <sheetView showGridLines="0" workbookViewId="0"/>
  </sheetViews>
  <sheetFormatPr defaultColWidth="12.6640625" defaultRowHeight="15.75" customHeight="1"/>
  <sheetData>
    <row r="1" spans="1:2">
      <c r="A1" s="24" t="s">
        <v>1</v>
      </c>
      <c r="B1" s="25" t="s">
        <v>627</v>
      </c>
    </row>
    <row r="2" spans="1:2">
      <c r="A2" s="26" t="s">
        <v>13</v>
      </c>
      <c r="B2" s="35">
        <v>207</v>
      </c>
    </row>
    <row r="3" spans="1:2">
      <c r="A3" s="27" t="s">
        <v>25</v>
      </c>
      <c r="B3" s="36">
        <v>90</v>
      </c>
    </row>
    <row r="4" spans="1:2">
      <c r="A4" s="28" t="s">
        <v>628</v>
      </c>
      <c r="B4" s="37">
        <v>297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4"/>
  <sheetViews>
    <sheetView showGridLines="0" workbookViewId="0"/>
  </sheetViews>
  <sheetFormatPr defaultColWidth="12.6640625" defaultRowHeight="15.75" customHeight="1"/>
  <sheetData>
    <row r="1" spans="1:2">
      <c r="A1" s="24" t="s">
        <v>10</v>
      </c>
      <c r="B1" s="25" t="s">
        <v>629</v>
      </c>
    </row>
    <row r="2" spans="1:2">
      <c r="A2" s="26" t="s">
        <v>18</v>
      </c>
      <c r="B2" s="35">
        <v>20</v>
      </c>
    </row>
    <row r="3" spans="1:2">
      <c r="A3" s="27" t="s">
        <v>407</v>
      </c>
      <c r="B3" s="36">
        <v>1</v>
      </c>
    </row>
    <row r="4" spans="1:2">
      <c r="A4" s="27" t="s">
        <v>213</v>
      </c>
      <c r="B4" s="36">
        <v>41</v>
      </c>
    </row>
    <row r="5" spans="1:2">
      <c r="A5" s="27" t="s">
        <v>403</v>
      </c>
      <c r="B5" s="36">
        <v>2</v>
      </c>
    </row>
    <row r="6" spans="1:2">
      <c r="A6" s="27" t="s">
        <v>114</v>
      </c>
      <c r="B6" s="36">
        <v>19</v>
      </c>
    </row>
    <row r="7" spans="1:2">
      <c r="A7" s="27" t="s">
        <v>56</v>
      </c>
      <c r="B7" s="36">
        <v>42</v>
      </c>
    </row>
    <row r="8" spans="1:2">
      <c r="A8" s="27" t="s">
        <v>29</v>
      </c>
      <c r="B8" s="36">
        <v>16</v>
      </c>
    </row>
    <row r="9" spans="1:2">
      <c r="A9" s="27" t="s">
        <v>282</v>
      </c>
      <c r="B9" s="36">
        <v>2</v>
      </c>
    </row>
    <row r="10" spans="1:2">
      <c r="A10" s="27" t="s">
        <v>61</v>
      </c>
      <c r="B10" s="36">
        <v>93</v>
      </c>
    </row>
    <row r="11" spans="1:2">
      <c r="A11" s="27" t="s">
        <v>358</v>
      </c>
      <c r="B11" s="36">
        <v>23</v>
      </c>
    </row>
    <row r="12" spans="1:2">
      <c r="A12" s="27" t="s">
        <v>242</v>
      </c>
      <c r="B12" s="36">
        <v>20</v>
      </c>
    </row>
    <row r="13" spans="1:2">
      <c r="A13" s="27" t="s">
        <v>325</v>
      </c>
      <c r="B13" s="36">
        <v>18</v>
      </c>
    </row>
    <row r="14" spans="1:2">
      <c r="A14" s="28" t="s">
        <v>628</v>
      </c>
      <c r="B14" s="37">
        <v>297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5"/>
  <sheetViews>
    <sheetView showGridLines="0" workbookViewId="0"/>
  </sheetViews>
  <sheetFormatPr defaultColWidth="12.6640625" defaultRowHeight="15.75" customHeight="1"/>
  <sheetData>
    <row r="1" spans="1:2">
      <c r="A1" s="24" t="s">
        <v>2</v>
      </c>
      <c r="B1" s="25" t="s">
        <v>630</v>
      </c>
    </row>
    <row r="2" spans="1:2">
      <c r="A2" s="26" t="s">
        <v>14</v>
      </c>
      <c r="B2" s="35">
        <v>159</v>
      </c>
    </row>
    <row r="3" spans="1:2">
      <c r="A3" s="27" t="s">
        <v>26</v>
      </c>
      <c r="B3" s="36">
        <v>90</v>
      </c>
    </row>
    <row r="4" spans="1:2">
      <c r="A4" s="27" t="s">
        <v>481</v>
      </c>
      <c r="B4" s="36">
        <v>48</v>
      </c>
    </row>
    <row r="5" spans="1:2">
      <c r="A5" s="28" t="s">
        <v>628</v>
      </c>
      <c r="B5" s="37">
        <v>297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14"/>
  <sheetViews>
    <sheetView showGridLines="0" workbookViewId="0"/>
  </sheetViews>
  <sheetFormatPr defaultColWidth="12.6640625" defaultRowHeight="15.75" customHeight="1"/>
  <sheetData>
    <row r="1" spans="1:2">
      <c r="A1" s="24" t="s">
        <v>10</v>
      </c>
      <c r="B1" s="25" t="s">
        <v>631</v>
      </c>
    </row>
    <row r="2" spans="1:2">
      <c r="A2" s="26" t="s">
        <v>18</v>
      </c>
      <c r="B2" s="35">
        <v>3667</v>
      </c>
    </row>
    <row r="3" spans="1:2">
      <c r="A3" s="27" t="s">
        <v>407</v>
      </c>
      <c r="B3" s="36">
        <v>80</v>
      </c>
    </row>
    <row r="4" spans="1:2">
      <c r="A4" s="27" t="s">
        <v>213</v>
      </c>
      <c r="B4" s="36">
        <v>19213</v>
      </c>
    </row>
    <row r="5" spans="1:2">
      <c r="A5" s="27" t="s">
        <v>403</v>
      </c>
      <c r="B5" s="36">
        <v>264</v>
      </c>
    </row>
    <row r="6" spans="1:2">
      <c r="A6" s="27" t="s">
        <v>114</v>
      </c>
      <c r="B6" s="36">
        <v>673</v>
      </c>
    </row>
    <row r="7" spans="1:2">
      <c r="A7" s="27" t="s">
        <v>56</v>
      </c>
      <c r="B7" s="36">
        <v>20203</v>
      </c>
    </row>
    <row r="8" spans="1:2">
      <c r="A8" s="27" t="s">
        <v>29</v>
      </c>
      <c r="B8" s="36">
        <v>1462</v>
      </c>
    </row>
    <row r="9" spans="1:2">
      <c r="A9" s="27" t="s">
        <v>282</v>
      </c>
      <c r="B9" s="36">
        <v>140</v>
      </c>
    </row>
    <row r="10" spans="1:2">
      <c r="A10" s="27" t="s">
        <v>61</v>
      </c>
      <c r="B10" s="36">
        <v>4108</v>
      </c>
    </row>
    <row r="11" spans="1:2">
      <c r="A11" s="27" t="s">
        <v>358</v>
      </c>
      <c r="B11" s="36">
        <v>64804</v>
      </c>
    </row>
    <row r="12" spans="1:2">
      <c r="A12" s="27" t="s">
        <v>242</v>
      </c>
      <c r="B12" s="36">
        <v>1355</v>
      </c>
    </row>
    <row r="13" spans="1:2">
      <c r="A13" s="27" t="s">
        <v>325</v>
      </c>
      <c r="B13" s="36">
        <v>1339</v>
      </c>
    </row>
    <row r="14" spans="1:2">
      <c r="A14" s="28" t="s">
        <v>628</v>
      </c>
      <c r="B14" s="37">
        <v>117308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14"/>
  <sheetViews>
    <sheetView showGridLines="0" workbookViewId="0"/>
  </sheetViews>
  <sheetFormatPr defaultColWidth="12.6640625" defaultRowHeight="15.75" customHeight="1"/>
  <sheetData>
    <row r="1" spans="1:2">
      <c r="A1" s="24" t="s">
        <v>10</v>
      </c>
      <c r="B1" s="25" t="s">
        <v>632</v>
      </c>
    </row>
    <row r="2" spans="1:2">
      <c r="A2" s="26" t="s">
        <v>18</v>
      </c>
      <c r="B2" s="35">
        <v>4.79</v>
      </c>
    </row>
    <row r="3" spans="1:2">
      <c r="A3" s="27" t="s">
        <v>407</v>
      </c>
      <c r="B3" s="36">
        <v>4.7</v>
      </c>
    </row>
    <row r="4" spans="1:2">
      <c r="A4" s="27" t="s">
        <v>213</v>
      </c>
      <c r="B4" s="36">
        <v>4.2731707317073164</v>
      </c>
    </row>
    <row r="5" spans="1:2">
      <c r="A5" s="27" t="s">
        <v>403</v>
      </c>
      <c r="B5" s="36">
        <v>1.75</v>
      </c>
    </row>
    <row r="6" spans="1:2">
      <c r="A6" s="27" t="s">
        <v>114</v>
      </c>
      <c r="B6" s="36">
        <v>3.4684210526315784</v>
      </c>
    </row>
    <row r="7" spans="1:2">
      <c r="A7" s="27" t="s">
        <v>56</v>
      </c>
      <c r="B7" s="36">
        <v>4.4500000000000011</v>
      </c>
    </row>
    <row r="8" spans="1:2">
      <c r="A8" s="27" t="s">
        <v>29</v>
      </c>
      <c r="B8" s="36">
        <v>4.3562500000000002</v>
      </c>
    </row>
    <row r="9" spans="1:2">
      <c r="A9" s="27" t="s">
        <v>282</v>
      </c>
      <c r="B9" s="36">
        <v>4.5999999999999996</v>
      </c>
    </row>
    <row r="10" spans="1:2">
      <c r="A10" s="27" t="s">
        <v>61</v>
      </c>
      <c r="B10" s="36">
        <v>4.274193548387097</v>
      </c>
    </row>
    <row r="11" spans="1:2">
      <c r="A11" s="27" t="s">
        <v>358</v>
      </c>
      <c r="B11" s="36">
        <v>4.321739130434783</v>
      </c>
    </row>
    <row r="12" spans="1:2">
      <c r="A12" s="27" t="s">
        <v>242</v>
      </c>
      <c r="B12" s="36">
        <v>4.4250000000000016</v>
      </c>
    </row>
    <row r="13" spans="1:2">
      <c r="A13" s="27" t="s">
        <v>325</v>
      </c>
      <c r="B13" s="36">
        <v>4.1444444444444457</v>
      </c>
    </row>
    <row r="14" spans="1:2">
      <c r="A14" s="28" t="s">
        <v>628</v>
      </c>
      <c r="B14" s="37">
        <v>4.2791245791245753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15"/>
  <sheetViews>
    <sheetView showGridLines="0" workbookViewId="0"/>
  </sheetViews>
  <sheetFormatPr defaultColWidth="12.6640625" defaultRowHeight="15.75" customHeight="1"/>
  <cols>
    <col min="1" max="1" width="25.33203125" customWidth="1"/>
    <col min="2" max="2" width="26.44140625" customWidth="1"/>
  </cols>
  <sheetData>
    <row r="1" spans="1:4">
      <c r="A1" s="24" t="s">
        <v>629</v>
      </c>
      <c r="B1" s="24" t="s">
        <v>1</v>
      </c>
      <c r="C1" s="29"/>
      <c r="D1" s="30"/>
    </row>
    <row r="2" spans="1:4">
      <c r="A2" s="24" t="s">
        <v>10</v>
      </c>
      <c r="B2" s="26" t="s">
        <v>13</v>
      </c>
      <c r="C2" s="31" t="s">
        <v>25</v>
      </c>
      <c r="D2" s="25" t="s">
        <v>628</v>
      </c>
    </row>
    <row r="3" spans="1:4">
      <c r="A3" s="26" t="s">
        <v>18</v>
      </c>
      <c r="B3" s="38">
        <v>19</v>
      </c>
      <c r="C3" s="39">
        <v>1</v>
      </c>
      <c r="D3" s="35">
        <v>20</v>
      </c>
    </row>
    <row r="4" spans="1:4">
      <c r="A4" s="27" t="s">
        <v>407</v>
      </c>
      <c r="B4" s="40"/>
      <c r="C4" s="41">
        <v>1</v>
      </c>
      <c r="D4" s="36">
        <v>1</v>
      </c>
    </row>
    <row r="5" spans="1:4">
      <c r="A5" s="27" t="s">
        <v>213</v>
      </c>
      <c r="B5" s="40">
        <v>39</v>
      </c>
      <c r="C5" s="41">
        <v>2</v>
      </c>
      <c r="D5" s="36">
        <v>41</v>
      </c>
    </row>
    <row r="6" spans="1:4">
      <c r="A6" s="27" t="s">
        <v>403</v>
      </c>
      <c r="B6" s="40"/>
      <c r="C6" s="41">
        <v>2</v>
      </c>
      <c r="D6" s="36">
        <v>2</v>
      </c>
    </row>
    <row r="7" spans="1:4">
      <c r="A7" s="27" t="s">
        <v>114</v>
      </c>
      <c r="B7" s="40"/>
      <c r="C7" s="41">
        <v>19</v>
      </c>
      <c r="D7" s="36">
        <v>19</v>
      </c>
    </row>
    <row r="8" spans="1:4">
      <c r="A8" s="27" t="s">
        <v>56</v>
      </c>
      <c r="B8" s="40">
        <v>39</v>
      </c>
      <c r="C8" s="41">
        <v>3</v>
      </c>
      <c r="D8" s="36">
        <v>42</v>
      </c>
    </row>
    <row r="9" spans="1:4">
      <c r="A9" s="27" t="s">
        <v>29</v>
      </c>
      <c r="B9" s="40"/>
      <c r="C9" s="41">
        <v>16</v>
      </c>
      <c r="D9" s="36">
        <v>16</v>
      </c>
    </row>
    <row r="10" spans="1:4">
      <c r="A10" s="27" t="s">
        <v>282</v>
      </c>
      <c r="B10" s="40"/>
      <c r="C10" s="41">
        <v>2</v>
      </c>
      <c r="D10" s="36">
        <v>2</v>
      </c>
    </row>
    <row r="11" spans="1:4">
      <c r="A11" s="27" t="s">
        <v>61</v>
      </c>
      <c r="B11" s="40">
        <v>87</v>
      </c>
      <c r="C11" s="41">
        <v>6</v>
      </c>
      <c r="D11" s="36">
        <v>93</v>
      </c>
    </row>
    <row r="12" spans="1:4">
      <c r="A12" s="27" t="s">
        <v>358</v>
      </c>
      <c r="B12" s="40">
        <v>23</v>
      </c>
      <c r="C12" s="41"/>
      <c r="D12" s="36">
        <v>23</v>
      </c>
    </row>
    <row r="13" spans="1:4">
      <c r="A13" s="27" t="s">
        <v>242</v>
      </c>
      <c r="B13" s="40"/>
      <c r="C13" s="41">
        <v>20</v>
      </c>
      <c r="D13" s="36">
        <v>20</v>
      </c>
    </row>
    <row r="14" spans="1:4">
      <c r="A14" s="27" t="s">
        <v>325</v>
      </c>
      <c r="B14" s="40"/>
      <c r="C14" s="41">
        <v>18</v>
      </c>
      <c r="D14" s="36">
        <v>18</v>
      </c>
    </row>
    <row r="15" spans="1:4">
      <c r="A15" s="28" t="s">
        <v>628</v>
      </c>
      <c r="B15" s="42">
        <v>207</v>
      </c>
      <c r="C15" s="43">
        <v>90</v>
      </c>
      <c r="D15" s="37">
        <v>297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</vt:lpstr>
      <vt:lpstr>DASHBOARD</vt:lpstr>
      <vt:lpstr>Indian Businesses</vt:lpstr>
      <vt:lpstr>Foreign Businesses</vt:lpstr>
      <vt:lpstr>Reviews-High Priority</vt:lpstr>
      <vt:lpstr>Reviews-Medium Priority</vt:lpstr>
      <vt:lpstr>Reviews-Low Priority</vt:lpstr>
      <vt:lpstr>No review Data</vt:lpstr>
      <vt:lpstr>Contact Availability</vt:lpstr>
      <vt:lpstr>Count of company by category</vt:lpstr>
      <vt:lpstr>Business by city</vt:lpstr>
      <vt:lpstr>Category By Reviews</vt:lpstr>
      <vt:lpstr>AVG rating by Category</vt:lpstr>
      <vt:lpstr>Category Distribution by Countr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Arshiya Gugliani</cp:lastModifiedBy>
  <dcterms:modified xsi:type="dcterms:W3CDTF">2026-10-03T18:51:18Z</dcterms:modified>
</cp:coreProperties>
</file>